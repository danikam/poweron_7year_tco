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hidePivotFieldList="1"/>
  <mc:AlternateContent xmlns:mc="http://schemas.openxmlformats.org/markup-compatibility/2006">
    <mc:Choice Requires="x15">
      <x15ac:absPath xmlns:x15ac="http://schemas.microsoft.com/office/spreadsheetml/2010/11/ac" url="https://poweronenergy.sharepoint.com/sites/PowerON/Shared Documents/PowerON/Product/Product Lists/TCO/"/>
    </mc:Choice>
  </mc:AlternateContent>
  <xr:revisionPtr revIDLastSave="0" documentId="8_{9868A23E-C7D9-42F9-AE93-34AE9CBDB8C8}" xr6:coauthVersionLast="47" xr6:coauthVersionMax="47" xr10:uidLastSave="{00000000-0000-0000-0000-000000000000}"/>
  <bookViews>
    <workbookView xWindow="-110" yWindow="-110" windowWidth="19420" windowHeight="11500" xr2:uid="{C965A5AD-791E-432A-BEFA-2931EFBF7C12}"/>
  </bookViews>
  <sheets>
    <sheet name="TCO Dashboard" sheetId="1" r:id="rId1"/>
    <sheet name="Cost analysis - purchase" sheetId="14" r:id="rId2"/>
    <sheet name="EV database" sheetId="4" r:id="rId3"/>
    <sheet name="Fuel &amp; Electricity Costs table" sheetId="21" r:id="rId4"/>
    <sheet name="ICE database" sheetId="16" r:id="rId5"/>
    <sheet name="Charger database" sheetId="3" r:id="rId6"/>
    <sheet name="New CFR marginal value" sheetId="25" r:id="rId7"/>
    <sheet name="Maintenance costs table" sheetId="12" r:id="rId8"/>
    <sheet name="Clean BC values table" sheetId="23" r:id="rId9"/>
    <sheet name="iMHZEV table" sheetId="24" r:id="rId10"/>
    <sheet name="Sheet1" sheetId="26" r:id="rId11"/>
  </sheets>
  <definedNames>
    <definedName name="EV_make_and_model">EV_DB[Make &amp; Model]</definedName>
    <definedName name="ICE_make_and_model">ICE_DB[Make + Model]</definedName>
    <definedName name="_xlnm.Print_Area" localSheetId="0">'TCO Dashboard'!$A$1:$N$35</definedName>
    <definedName name="Unique_chargers">Charger_DB[Charger type]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7" i="14" l="1"/>
  <c r="Q64" i="1"/>
  <c r="G34" i="16" a="1"/>
  <c r="G34" i="16" s="1"/>
  <c r="H34" i="16" s="1" a="1"/>
  <c r="H34" i="16" s="1"/>
  <c r="G33" i="16" a="1"/>
  <c r="G33" i="16" s="1"/>
  <c r="H33" i="16" s="1" a="1"/>
  <c r="H33" i="16" s="1"/>
  <c r="G32" i="16" a="1"/>
  <c r="G32" i="16" s="1"/>
  <c r="H32" i="16" s="1" a="1"/>
  <c r="H32" i="16" s="1"/>
  <c r="G31" i="16" l="1" a="1"/>
  <c r="G31" i="16" s="1"/>
  <c r="H31" i="16" s="1" a="1"/>
  <c r="H31" i="16" s="1"/>
  <c r="C79" i="4"/>
  <c r="G79" i="4" a="1"/>
  <c r="G79" i="4" s="1"/>
  <c r="K79" i="4" s="1" a="1"/>
  <c r="K79" i="4" s="1"/>
  <c r="R79" i="4" a="1"/>
  <c r="R79" i="4" s="1"/>
  <c r="T79" i="4" a="1"/>
  <c r="T79" i="4" s="1"/>
  <c r="G30" i="16" a="1"/>
  <c r="G30" i="16" s="1"/>
  <c r="H30" i="16" s="1" a="1"/>
  <c r="H30" i="16" s="1"/>
  <c r="C78" i="4"/>
  <c r="G78" i="4" a="1"/>
  <c r="G78" i="4" s="1"/>
  <c r="K78" i="4" s="1" a="1"/>
  <c r="K78" i="4" s="1"/>
  <c r="R78" i="4" a="1"/>
  <c r="R78" i="4" s="1"/>
  <c r="T78" i="4" a="1"/>
  <c r="T78" i="4" s="1"/>
  <c r="T6" i="4" a="1"/>
  <c r="T6" i="4" s="1"/>
  <c r="T7" i="4" a="1"/>
  <c r="T7" i="4" s="1"/>
  <c r="T8" i="4" a="1"/>
  <c r="T8" i="4" s="1"/>
  <c r="G29" i="16" a="1"/>
  <c r="G29" i="16" s="1"/>
  <c r="H29" i="16" s="1" a="1"/>
  <c r="H29" i="16" s="1"/>
  <c r="G28" i="16" a="1"/>
  <c r="G28" i="16" s="1"/>
  <c r="H28" i="16" s="1" a="1"/>
  <c r="H28" i="16" s="1"/>
  <c r="G77" i="4" a="1"/>
  <c r="G77" i="4" s="1"/>
  <c r="K77" i="4" s="1" a="1"/>
  <c r="K77" i="4" s="1"/>
  <c r="C77" i="4"/>
  <c r="G76" i="4" a="1"/>
  <c r="G76" i="4" s="1"/>
  <c r="K76" i="4" s="1" a="1"/>
  <c r="K76" i="4" s="1"/>
  <c r="C76" i="4"/>
  <c r="G75" i="4" a="1"/>
  <c r="G75" i="4" s="1"/>
  <c r="K75" i="4" s="1" a="1"/>
  <c r="K75" i="4" s="1"/>
  <c r="C75" i="4"/>
  <c r="G27" i="16" a="1"/>
  <c r="G27" i="16" s="1"/>
  <c r="H27" i="16" s="1" a="1"/>
  <c r="H27" i="16" s="1"/>
  <c r="G26" i="16" a="1"/>
  <c r="G26" i="16" s="1"/>
  <c r="H26" i="16" s="1" a="1"/>
  <c r="H26" i="16" s="1"/>
  <c r="AE61" i="14"/>
  <c r="P61" i="14"/>
  <c r="J61" i="14"/>
  <c r="AE60" i="14"/>
  <c r="P60" i="14"/>
  <c r="J60" i="14"/>
  <c r="AE59" i="14"/>
  <c r="P59" i="14"/>
  <c r="J59" i="14"/>
  <c r="AE58" i="14"/>
  <c r="P58" i="14"/>
  <c r="J58" i="14"/>
  <c r="AE57" i="14"/>
  <c r="P57" i="14"/>
  <c r="J57" i="14"/>
  <c r="AE56" i="14"/>
  <c r="P56" i="14"/>
  <c r="J56" i="14"/>
  <c r="AE55" i="14"/>
  <c r="AA55" i="14"/>
  <c r="W55" i="14"/>
  <c r="V55" i="14"/>
  <c r="T55" i="14"/>
  <c r="T63" i="14" s="1"/>
  <c r="P55" i="14"/>
  <c r="J55" i="14"/>
  <c r="AI54" i="14"/>
  <c r="AF54" i="14"/>
  <c r="AG54" i="14" s="1"/>
  <c r="Q54" i="14"/>
  <c r="P3" i="14"/>
  <c r="Q3" i="14" s="1"/>
  <c r="AC3" i="14"/>
  <c r="AD3" i="14" s="1"/>
  <c r="AM79" i="4" l="1"/>
  <c r="AP79" i="4"/>
  <c r="AR79" i="4"/>
  <c r="AF79" i="4"/>
  <c r="AL79" i="4"/>
  <c r="AN79" i="4"/>
  <c r="AO79" i="4"/>
  <c r="AQ79" i="4"/>
  <c r="AH79" i="4"/>
  <c r="AI79" i="4"/>
  <c r="AJ79" i="4"/>
  <c r="AK79" i="4"/>
  <c r="AG79" i="4"/>
  <c r="AG78" i="4"/>
  <c r="AF78" i="4"/>
  <c r="AH78" i="4"/>
  <c r="AI78" i="4"/>
  <c r="AJ78" i="4"/>
  <c r="AK78" i="4"/>
  <c r="AL78" i="4"/>
  <c r="AM78" i="4"/>
  <c r="AN78" i="4"/>
  <c r="AO78" i="4"/>
  <c r="AP78" i="4"/>
  <c r="AQ78" i="4"/>
  <c r="AR78" i="4"/>
  <c r="AF76" i="4"/>
  <c r="AO76" i="4"/>
  <c r="AJ76" i="4"/>
  <c r="AI76" i="4"/>
  <c r="AG76" i="4"/>
  <c r="AN76" i="4"/>
  <c r="AP76" i="4"/>
  <c r="AL76" i="4"/>
  <c r="AH76" i="4"/>
  <c r="AQ76" i="4"/>
  <c r="AK76" i="4"/>
  <c r="AM76" i="4"/>
  <c r="AQ75" i="4"/>
  <c r="AN75" i="4"/>
  <c r="AL75" i="4"/>
  <c r="AK75" i="4"/>
  <c r="AJ75" i="4"/>
  <c r="AG75" i="4"/>
  <c r="AR75" i="4"/>
  <c r="AM75" i="4"/>
  <c r="AI75" i="4"/>
  <c r="AH75" i="4"/>
  <c r="AF75" i="4"/>
  <c r="AP75" i="4"/>
  <c r="AO75" i="4"/>
  <c r="AJ77" i="4"/>
  <c r="AH77" i="4"/>
  <c r="AR77" i="4"/>
  <c r="AQ77" i="4"/>
  <c r="AP77" i="4"/>
  <c r="AI77" i="4"/>
  <c r="AG77" i="4"/>
  <c r="AF77" i="4"/>
  <c r="AO77" i="4"/>
  <c r="AN77" i="4"/>
  <c r="AM77" i="4"/>
  <c r="AL77" i="4"/>
  <c r="AK77" i="4"/>
  <c r="AR76" i="4"/>
  <c r="AJ3" i="14"/>
  <c r="P63" i="14"/>
  <c r="AA64" i="14"/>
  <c r="AH3" i="14"/>
  <c r="AA63" i="14"/>
  <c r="V63" i="14"/>
  <c r="AE63" i="14"/>
  <c r="W56" i="14"/>
  <c r="W57" i="14" s="1"/>
  <c r="W58" i="14" s="1"/>
  <c r="W59" i="14" s="1"/>
  <c r="W63" i="14"/>
  <c r="W64" i="14"/>
  <c r="AK54" i="14"/>
  <c r="AE64" i="14"/>
  <c r="AJ54" i="14"/>
  <c r="J63" i="14"/>
  <c r="R54" i="14"/>
  <c r="AI3" i="14"/>
  <c r="AL54" i="14" l="1"/>
  <c r="C74" i="4" l="1"/>
  <c r="G74" i="4" a="1"/>
  <c r="G74" i="4" s="1"/>
  <c r="K74" i="4" s="1" a="1"/>
  <c r="K74" i="4" s="1"/>
  <c r="R74" i="4" a="1"/>
  <c r="R74" i="4" s="1"/>
  <c r="T74" i="4" a="1"/>
  <c r="T74" i="4" s="1"/>
  <c r="C73" i="4"/>
  <c r="G73" i="4" a="1"/>
  <c r="G73" i="4" s="1"/>
  <c r="K73" i="4" s="1" a="1"/>
  <c r="K73" i="4" s="1"/>
  <c r="R73" i="4" a="1"/>
  <c r="R73" i="4" s="1"/>
  <c r="T73" i="4" a="1"/>
  <c r="T73" i="4" s="1"/>
  <c r="C72" i="4"/>
  <c r="G72" i="4" a="1"/>
  <c r="G72" i="4" s="1"/>
  <c r="K72" i="4" s="1" a="1"/>
  <c r="K72" i="4" s="1"/>
  <c r="R72" i="4" a="1"/>
  <c r="R72" i="4" s="1"/>
  <c r="AO72" i="4" s="1"/>
  <c r="T72" i="4" a="1"/>
  <c r="T72" i="4" s="1"/>
  <c r="C71" i="4"/>
  <c r="G71" i="4" a="1"/>
  <c r="G71" i="4" s="1"/>
  <c r="K71" i="4" s="1" a="1"/>
  <c r="K71" i="4" s="1"/>
  <c r="R71" i="4" a="1"/>
  <c r="R71" i="4" s="1"/>
  <c r="T71" i="4" a="1"/>
  <c r="T71" i="4" s="1"/>
  <c r="G25" i="16" a="1"/>
  <c r="G25" i="16" s="1"/>
  <c r="H25" i="16" s="1" a="1"/>
  <c r="H25" i="16" s="1"/>
  <c r="G24" i="16" a="1"/>
  <c r="G24" i="16" s="1"/>
  <c r="H24" i="16" s="1" a="1"/>
  <c r="H24" i="16" s="1"/>
  <c r="G23" i="16" a="1"/>
  <c r="G23" i="16" s="1"/>
  <c r="H23" i="16" s="1" a="1"/>
  <c r="H23" i="16" s="1"/>
  <c r="G22" i="16" a="1"/>
  <c r="G22" i="16" s="1"/>
  <c r="H22" i="16" s="1" a="1"/>
  <c r="H22" i="16" s="1"/>
  <c r="B52" i="14" a="1"/>
  <c r="B52" i="14" s="1"/>
  <c r="G3" i="16" a="1"/>
  <c r="G3" i="16" s="1"/>
  <c r="H3" i="16" s="1" a="1"/>
  <c r="H3" i="16" s="1"/>
  <c r="T16" i="4" a="1"/>
  <c r="T16" i="4" s="1"/>
  <c r="R16" i="4" a="1"/>
  <c r="R16" i="4" s="1"/>
  <c r="G16" i="4" a="1"/>
  <c r="G16" i="4" s="1"/>
  <c r="K16" i="4" s="1" a="1"/>
  <c r="K16" i="4" s="1"/>
  <c r="C16" i="4"/>
  <c r="G21" i="16" a="1"/>
  <c r="G21" i="16" s="1"/>
  <c r="H21" i="16" s="1" a="1"/>
  <c r="H21" i="16" s="1"/>
  <c r="G20" i="16" a="1"/>
  <c r="G20" i="16" s="1"/>
  <c r="H20" i="16" s="1" a="1"/>
  <c r="H20" i="16" s="1"/>
  <c r="G19" i="16" a="1"/>
  <c r="G19" i="16" s="1"/>
  <c r="H19" i="16" s="1" a="1"/>
  <c r="H19" i="16" s="1"/>
  <c r="G18" i="16" a="1"/>
  <c r="G18" i="16" s="1"/>
  <c r="H18" i="16" s="1" a="1"/>
  <c r="H18" i="16" s="1"/>
  <c r="G17" i="16" a="1"/>
  <c r="G17" i="16" s="1"/>
  <c r="H17" i="16" s="1" a="1"/>
  <c r="H17" i="16" s="1"/>
  <c r="G16" i="16" a="1"/>
  <c r="G16" i="16" s="1"/>
  <c r="H16" i="16" s="1" a="1"/>
  <c r="H16" i="16" s="1"/>
  <c r="G15" i="16" a="1"/>
  <c r="G15" i="16" s="1"/>
  <c r="H15" i="16" s="1" a="1"/>
  <c r="H15" i="16" s="1"/>
  <c r="G14" i="16" a="1"/>
  <c r="G14" i="16" s="1"/>
  <c r="H14" i="16" s="1" a="1"/>
  <c r="H14" i="16" s="1"/>
  <c r="G13" i="16" a="1"/>
  <c r="G13" i="16" s="1"/>
  <c r="H13" i="16" s="1" a="1"/>
  <c r="H13" i="16" s="1"/>
  <c r="G12" i="16" a="1"/>
  <c r="G12" i="16" s="1"/>
  <c r="H12" i="16" s="1" a="1"/>
  <c r="H12" i="16" s="1"/>
  <c r="Z56" i="14" l="1"/>
  <c r="Z57" i="14"/>
  <c r="Z59" i="14"/>
  <c r="Z58" i="14"/>
  <c r="Z60" i="14"/>
  <c r="Z55" i="14"/>
  <c r="Z61" i="14"/>
  <c r="AA39" i="14"/>
  <c r="AF38" i="14" s="1"/>
  <c r="AA21" i="14"/>
  <c r="AF21" i="14" s="1"/>
  <c r="AJ72" i="4"/>
  <c r="AN72" i="4"/>
  <c r="AM72" i="4"/>
  <c r="AL72" i="4"/>
  <c r="AK72" i="4"/>
  <c r="AF74" i="4"/>
  <c r="AG74" i="4"/>
  <c r="AH74" i="4"/>
  <c r="AI74" i="4"/>
  <c r="AJ74" i="4"/>
  <c r="AK74" i="4"/>
  <c r="AL74" i="4"/>
  <c r="AM74" i="4"/>
  <c r="AN74" i="4"/>
  <c r="AO74" i="4"/>
  <c r="AP74" i="4"/>
  <c r="AQ74" i="4"/>
  <c r="AR74" i="4"/>
  <c r="AI72" i="4"/>
  <c r="AH72" i="4"/>
  <c r="AG72" i="4"/>
  <c r="AF72" i="4"/>
  <c r="AR72" i="4"/>
  <c r="AQ72" i="4"/>
  <c r="AP72" i="4"/>
  <c r="AP71" i="4"/>
  <c r="AF71" i="4"/>
  <c r="AG71" i="4"/>
  <c r="AH71" i="4"/>
  <c r="AI71" i="4"/>
  <c r="AJ71" i="4"/>
  <c r="AK71" i="4"/>
  <c r="AL71" i="4"/>
  <c r="AM71" i="4"/>
  <c r="AN71" i="4"/>
  <c r="AO71" i="4"/>
  <c r="AF73" i="4"/>
  <c r="AG73" i="4"/>
  <c r="AH73" i="4"/>
  <c r="AI73" i="4"/>
  <c r="AJ73" i="4"/>
  <c r="AK73" i="4"/>
  <c r="AN73" i="4"/>
  <c r="AO73" i="4"/>
  <c r="AR73" i="4"/>
  <c r="AL73" i="4"/>
  <c r="AM73" i="4"/>
  <c r="AP73" i="4"/>
  <c r="AQ73" i="4"/>
  <c r="AR71" i="4"/>
  <c r="AQ71" i="4"/>
  <c r="AR16" i="4"/>
  <c r="AP16" i="4"/>
  <c r="AO16" i="4"/>
  <c r="AL16" i="4"/>
  <c r="AJ16" i="4"/>
  <c r="AG16" i="4"/>
  <c r="AQ16" i="4"/>
  <c r="AN16" i="4"/>
  <c r="AM16" i="4"/>
  <c r="AK16" i="4"/>
  <c r="AI16" i="4"/>
  <c r="AH16" i="4"/>
  <c r="AF16" i="4"/>
  <c r="C40" i="4"/>
  <c r="G40" i="4" a="1"/>
  <c r="G40" i="4" s="1"/>
  <c r="K40" i="4" s="1" a="1"/>
  <c r="K40" i="4" s="1"/>
  <c r="R40" i="4" a="1"/>
  <c r="R40" i="4" s="1"/>
  <c r="T40" i="4" a="1"/>
  <c r="T40" i="4" s="1"/>
  <c r="C49" i="4"/>
  <c r="G49" i="4" a="1"/>
  <c r="G49" i="4" s="1"/>
  <c r="K49" i="4" s="1" a="1"/>
  <c r="K49" i="4" s="1"/>
  <c r="R49" i="4" a="1"/>
  <c r="R49" i="4" s="1"/>
  <c r="T49" i="4" a="1"/>
  <c r="T49" i="4" s="1"/>
  <c r="G32" i="4" a="1"/>
  <c r="G32" i="4" s="1"/>
  <c r="K32" i="4" s="1" a="1"/>
  <c r="K32" i="4" s="1"/>
  <c r="R32" i="4" a="1"/>
  <c r="R32" i="4" s="1"/>
  <c r="T32" i="4" a="1"/>
  <c r="T32" i="4" s="1"/>
  <c r="C24" i="4"/>
  <c r="G24" i="4" a="1"/>
  <c r="G24" i="4" s="1"/>
  <c r="K24" i="4" s="1" a="1"/>
  <c r="K24" i="4" s="1"/>
  <c r="R24" i="4" a="1"/>
  <c r="R24" i="4" s="1"/>
  <c r="T24" i="4" a="1"/>
  <c r="T24" i="4" s="1"/>
  <c r="G10" i="16" a="1"/>
  <c r="G10" i="16" s="1"/>
  <c r="H10" i="16" s="1" a="1"/>
  <c r="H10" i="16" s="1"/>
  <c r="Z63" i="14" l="1"/>
  <c r="Z64" i="14"/>
  <c r="AA47" i="14"/>
  <c r="AA30" i="14"/>
  <c r="AM40" i="4"/>
  <c r="AG40" i="4"/>
  <c r="AO40" i="4"/>
  <c r="AQ40" i="4"/>
  <c r="AH40" i="4"/>
  <c r="AP40" i="4"/>
  <c r="AI40" i="4"/>
  <c r="AJ40" i="4"/>
  <c r="AR40" i="4"/>
  <c r="AK40" i="4"/>
  <c r="AL40" i="4"/>
  <c r="AF40" i="4"/>
  <c r="AN40" i="4"/>
  <c r="AM49" i="4"/>
  <c r="AF49" i="4"/>
  <c r="AN49" i="4"/>
  <c r="AJ49" i="4"/>
  <c r="AR49" i="4"/>
  <c r="AG49" i="4"/>
  <c r="AO49" i="4"/>
  <c r="AH49" i="4"/>
  <c r="AP49" i="4"/>
  <c r="AI49" i="4"/>
  <c r="AQ49" i="4"/>
  <c r="AK49" i="4"/>
  <c r="AL49" i="4"/>
  <c r="AM32" i="4"/>
  <c r="AG32" i="4"/>
  <c r="AO32" i="4"/>
  <c r="AQ32" i="4"/>
  <c r="AJ32" i="4"/>
  <c r="AR32" i="4"/>
  <c r="AK32" i="4"/>
  <c r="AH32" i="4"/>
  <c r="AP32" i="4"/>
  <c r="AI32" i="4"/>
  <c r="AF32" i="4"/>
  <c r="AL32" i="4"/>
  <c r="AN32" i="4"/>
  <c r="AG24" i="4"/>
  <c r="AO24" i="4"/>
  <c r="AH24" i="4"/>
  <c r="AP24" i="4"/>
  <c r="AI24" i="4"/>
  <c r="AQ24" i="4"/>
  <c r="AJ24" i="4"/>
  <c r="AR24" i="4"/>
  <c r="AL24" i="4"/>
  <c r="AF24" i="4"/>
  <c r="AN24" i="4"/>
  <c r="AK24" i="4"/>
  <c r="AM24" i="4"/>
  <c r="R111" i="1"/>
  <c r="R150" i="1"/>
  <c r="Q150" i="1"/>
  <c r="R149" i="1"/>
  <c r="Q149" i="1"/>
  <c r="R161" i="1"/>
  <c r="R99" i="1" l="1"/>
  <c r="Q99" i="1"/>
  <c r="R98" i="1"/>
  <c r="Q98" i="1"/>
  <c r="T5" i="4" a="1"/>
  <c r="T5" i="4" s="1"/>
  <c r="R5" i="4" a="1"/>
  <c r="R5" i="4" s="1"/>
  <c r="G5" i="4" a="1"/>
  <c r="G5" i="4" s="1"/>
  <c r="K5" i="4" s="1" a="1"/>
  <c r="K5" i="4" s="1"/>
  <c r="C5" i="4"/>
  <c r="G9" i="16" a="1"/>
  <c r="G9" i="16" s="1"/>
  <c r="H9" i="16" s="1" a="1"/>
  <c r="H9" i="16" s="1"/>
  <c r="R110" i="1"/>
  <c r="B51" i="14"/>
  <c r="Q104" i="1" l="1"/>
  <c r="Q155" i="1"/>
  <c r="AR5" i="4"/>
  <c r="AQ5" i="4"/>
  <c r="AK5" i="4"/>
  <c r="AG5" i="4"/>
  <c r="AP5" i="4"/>
  <c r="AN5" i="4"/>
  <c r="AL5" i="4"/>
  <c r="AJ5" i="4"/>
  <c r="AH5" i="4"/>
  <c r="AO5" i="4"/>
  <c r="AI5" i="4"/>
  <c r="AF5" i="4"/>
  <c r="AM5" i="4"/>
  <c r="R59" i="1"/>
  <c r="Q53" i="1" l="1"/>
  <c r="B25" i="14"/>
  <c r="R50" i="1"/>
  <c r="Q50" i="1"/>
  <c r="R49" i="1"/>
  <c r="Q49" i="1"/>
  <c r="C15" i="4" l="1"/>
  <c r="G15" i="4" a="1"/>
  <c r="G15" i="4" s="1"/>
  <c r="K15" i="4" s="1" a="1"/>
  <c r="K15" i="4" s="1"/>
  <c r="R15" i="4" a="1"/>
  <c r="R15" i="4" s="1"/>
  <c r="C10" i="4"/>
  <c r="G10" i="4" a="1"/>
  <c r="G10" i="4" s="1"/>
  <c r="K10" i="4" s="1" a="1"/>
  <c r="K10" i="4" s="1"/>
  <c r="R10" i="4" a="1"/>
  <c r="R10" i="4" s="1"/>
  <c r="T10" i="4" a="1"/>
  <c r="T10" i="4" s="1"/>
  <c r="G8" i="16" a="1"/>
  <c r="G8" i="16" s="1"/>
  <c r="T15" i="4" l="1" a="1"/>
  <c r="T15" i="4" s="1"/>
  <c r="AG15" i="4" s="1"/>
  <c r="AO15" i="4"/>
  <c r="AP15" i="4"/>
  <c r="AI15" i="4"/>
  <c r="AJ15" i="4"/>
  <c r="AR15" i="4"/>
  <c r="AK15" i="4"/>
  <c r="AL15" i="4"/>
  <c r="AH15" i="4"/>
  <c r="AQ15" i="4"/>
  <c r="AM15" i="4"/>
  <c r="AF15" i="4"/>
  <c r="AN15" i="4"/>
  <c r="AM10" i="4"/>
  <c r="AN10" i="4"/>
  <c r="AG10" i="4"/>
  <c r="AO10" i="4"/>
  <c r="AK10" i="4"/>
  <c r="AL10" i="4"/>
  <c r="AF10" i="4"/>
  <c r="AH10" i="4"/>
  <c r="AP10" i="4"/>
  <c r="AQ10" i="4"/>
  <c r="AI10" i="4"/>
  <c r="AJ10" i="4"/>
  <c r="AR10" i="4"/>
  <c r="AI39" i="14" l="1"/>
  <c r="AI40" i="14" s="1"/>
  <c r="AI22" i="14"/>
  <c r="AI23" i="14" s="1"/>
  <c r="AF4" i="14"/>
  <c r="R3" i="4" a="1"/>
  <c r="R3" i="4" s="1"/>
  <c r="R4" i="4" a="1"/>
  <c r="R4" i="4" s="1"/>
  <c r="R6" i="4" a="1"/>
  <c r="R6" i="4" s="1"/>
  <c r="R7" i="4" a="1"/>
  <c r="R7" i="4" s="1"/>
  <c r="R11" i="4" a="1"/>
  <c r="R11" i="4" s="1"/>
  <c r="R13" i="4" a="1"/>
  <c r="R13" i="4" s="1"/>
  <c r="R14" i="4" a="1"/>
  <c r="R14" i="4" s="1"/>
  <c r="R17" i="4" a="1"/>
  <c r="R17" i="4" s="1"/>
  <c r="R18" i="4" a="1"/>
  <c r="R18" i="4" s="1"/>
  <c r="R19" i="4" a="1"/>
  <c r="R19" i="4" s="1"/>
  <c r="R8" i="4" a="1"/>
  <c r="R8" i="4" s="1"/>
  <c r="AM8" i="4" s="1"/>
  <c r="R20" i="4" a="1"/>
  <c r="R20" i="4" s="1"/>
  <c r="R21" i="4" a="1"/>
  <c r="R21" i="4" s="1"/>
  <c r="AP21" i="4" s="1"/>
  <c r="R22" i="4" a="1"/>
  <c r="R22" i="4" s="1"/>
  <c r="R9" i="4" a="1"/>
  <c r="R9" i="4" s="1"/>
  <c r="R23" i="4" a="1"/>
  <c r="R23" i="4" s="1"/>
  <c r="AL23" i="4" s="1"/>
  <c r="R25" i="4" a="1"/>
  <c r="R25" i="4" s="1"/>
  <c r="AO25" i="4" s="1"/>
  <c r="R26" i="4" a="1"/>
  <c r="R26" i="4" s="1"/>
  <c r="AF26" i="4" s="1"/>
  <c r="R27" i="4" a="1"/>
  <c r="R27" i="4" s="1"/>
  <c r="R28" i="4" a="1"/>
  <c r="R28" i="4" s="1"/>
  <c r="AR28" i="4" s="1"/>
  <c r="R29" i="4" a="1"/>
  <c r="R29" i="4" s="1"/>
  <c r="R30" i="4" a="1"/>
  <c r="R30" i="4" s="1"/>
  <c r="AH30" i="4" s="1"/>
  <c r="R31" i="4" a="1"/>
  <c r="R31" i="4" s="1"/>
  <c r="R33" i="4" a="1"/>
  <c r="R33" i="4" s="1"/>
  <c r="AN33" i="4" s="1"/>
  <c r="R34" i="4" a="1"/>
  <c r="R34" i="4" s="1"/>
  <c r="R35" i="4" a="1"/>
  <c r="R35" i="4" s="1"/>
  <c r="AQ35" i="4" s="1"/>
  <c r="R36" i="4" a="1"/>
  <c r="R36" i="4" s="1"/>
  <c r="AM36" i="4" s="1"/>
  <c r="R37" i="4" a="1"/>
  <c r="R37" i="4" s="1"/>
  <c r="AM37" i="4" s="1"/>
  <c r="R38" i="4" a="1"/>
  <c r="R38" i="4" s="1"/>
  <c r="R39" i="4" a="1"/>
  <c r="R39" i="4" s="1"/>
  <c r="AM39" i="4" s="1"/>
  <c r="R41" i="4" a="1"/>
  <c r="R41" i="4" s="1"/>
  <c r="R42" i="4" a="1"/>
  <c r="R42" i="4" s="1"/>
  <c r="AP42" i="4" s="1"/>
  <c r="R43" i="4" a="1"/>
  <c r="R43" i="4" s="1"/>
  <c r="R44" i="4" a="1"/>
  <c r="R44" i="4" s="1"/>
  <c r="R45" i="4" a="1"/>
  <c r="R45" i="4" s="1"/>
  <c r="R46" i="4" a="1"/>
  <c r="R46" i="4" s="1"/>
  <c r="R47" i="4" a="1"/>
  <c r="R47" i="4" s="1"/>
  <c r="AL47" i="4" s="1"/>
  <c r="R48" i="4" a="1"/>
  <c r="R48" i="4" s="1"/>
  <c r="AK48" i="4" s="1"/>
  <c r="R53" i="4" a="1"/>
  <c r="R53" i="4" s="1"/>
  <c r="R50" i="4" a="1"/>
  <c r="R50" i="4" s="1"/>
  <c r="R54" i="4" a="1"/>
  <c r="R54" i="4" s="1"/>
  <c r="R55" i="4" a="1"/>
  <c r="R55" i="4" s="1"/>
  <c r="R57" i="4" a="1"/>
  <c r="R57" i="4" s="1"/>
  <c r="R58" i="4" a="1"/>
  <c r="R58" i="4" s="1"/>
  <c r="AQ58" i="4" s="1"/>
  <c r="R59" i="4" a="1"/>
  <c r="R59" i="4" s="1"/>
  <c r="R60" i="4" a="1"/>
  <c r="R60" i="4" s="1"/>
  <c r="AQ60" i="4" s="1"/>
  <c r="R70" i="4" a="1"/>
  <c r="R70" i="4" s="1"/>
  <c r="AM70" i="4" s="1"/>
  <c r="R61" i="4" a="1"/>
  <c r="R61" i="4" s="1"/>
  <c r="AM61" i="4" s="1"/>
  <c r="R62" i="4" a="1"/>
  <c r="R62" i="4" s="1"/>
  <c r="R63" i="4" a="1"/>
  <c r="R63" i="4" s="1"/>
  <c r="R64" i="4" a="1"/>
  <c r="R64" i="4" s="1"/>
  <c r="R65" i="4" a="1"/>
  <c r="R65" i="4" s="1"/>
  <c r="AI65" i="4" s="1"/>
  <c r="R66" i="4" a="1"/>
  <c r="R66" i="4" s="1"/>
  <c r="R67" i="4" a="1"/>
  <c r="R67" i="4" s="1"/>
  <c r="R68" i="4" a="1"/>
  <c r="R68" i="4" s="1"/>
  <c r="R69" i="4" a="1"/>
  <c r="R69" i="4" s="1"/>
  <c r="AL69" i="4" s="1"/>
  <c r="R2" i="4" a="1"/>
  <c r="R2" i="4" s="1"/>
  <c r="AF2" i="4" s="1"/>
  <c r="T2" i="4" a="1"/>
  <c r="T2" i="4" s="1"/>
  <c r="T3" i="4" a="1"/>
  <c r="T3" i="4" s="1"/>
  <c r="T4" i="4" a="1"/>
  <c r="T4" i="4" s="1"/>
  <c r="T11" i="4" a="1"/>
  <c r="T11" i="4" s="1"/>
  <c r="T13" i="4" a="1"/>
  <c r="T13" i="4" s="1"/>
  <c r="T14" i="4" a="1"/>
  <c r="T14" i="4" s="1"/>
  <c r="T17" i="4" a="1"/>
  <c r="T17" i="4" s="1"/>
  <c r="T18" i="4" a="1"/>
  <c r="T18" i="4" s="1"/>
  <c r="T19" i="4" a="1"/>
  <c r="T19" i="4" s="1"/>
  <c r="T20" i="4" a="1"/>
  <c r="T20" i="4" s="1"/>
  <c r="T21" i="4" a="1"/>
  <c r="T21" i="4" s="1"/>
  <c r="T22" i="4" a="1"/>
  <c r="T22" i="4" s="1"/>
  <c r="T9" i="4" a="1"/>
  <c r="T9" i="4" s="1"/>
  <c r="T23" i="4" a="1"/>
  <c r="T23" i="4" s="1"/>
  <c r="T25" i="4" a="1"/>
  <c r="T25" i="4" s="1"/>
  <c r="T26" i="4" a="1"/>
  <c r="T26" i="4" s="1"/>
  <c r="T27" i="4" a="1"/>
  <c r="T27" i="4" s="1"/>
  <c r="T28" i="4" a="1"/>
  <c r="T28" i="4" s="1"/>
  <c r="T29" i="4" a="1"/>
  <c r="T29" i="4" s="1"/>
  <c r="T30" i="4" a="1"/>
  <c r="T30" i="4" s="1"/>
  <c r="T31" i="4" a="1"/>
  <c r="T31" i="4" s="1"/>
  <c r="T33" i="4" a="1"/>
  <c r="T33" i="4" s="1"/>
  <c r="T34" i="4" a="1"/>
  <c r="T34" i="4" s="1"/>
  <c r="T35" i="4" a="1"/>
  <c r="T35" i="4" s="1"/>
  <c r="T36" i="4" a="1"/>
  <c r="T36" i="4" s="1"/>
  <c r="T37" i="4" a="1"/>
  <c r="T37" i="4" s="1"/>
  <c r="T38" i="4" a="1"/>
  <c r="T38" i="4" s="1"/>
  <c r="T39" i="4" a="1"/>
  <c r="T39" i="4" s="1"/>
  <c r="T41" i="4" a="1"/>
  <c r="T41" i="4" s="1"/>
  <c r="T42" i="4" a="1"/>
  <c r="T42" i="4" s="1"/>
  <c r="T43" i="4" a="1"/>
  <c r="T43" i="4" s="1"/>
  <c r="T44" i="4" a="1"/>
  <c r="T44" i="4" s="1"/>
  <c r="T45" i="4" a="1"/>
  <c r="T45" i="4" s="1"/>
  <c r="T46" i="4" a="1"/>
  <c r="T46" i="4" s="1"/>
  <c r="T47" i="4" a="1"/>
  <c r="T47" i="4" s="1"/>
  <c r="T48" i="4" a="1"/>
  <c r="T48" i="4" s="1"/>
  <c r="T51" i="4" a="1"/>
  <c r="T51" i="4" s="1"/>
  <c r="T52" i="4" a="1"/>
  <c r="T52" i="4" s="1"/>
  <c r="T53" i="4" a="1"/>
  <c r="T53" i="4" s="1"/>
  <c r="T50" i="4" a="1"/>
  <c r="T50" i="4" s="1"/>
  <c r="T54" i="4" a="1"/>
  <c r="T54" i="4" s="1"/>
  <c r="T55" i="4" a="1"/>
  <c r="T55" i="4" s="1"/>
  <c r="T56" i="4" a="1"/>
  <c r="T56" i="4" s="1"/>
  <c r="T57" i="4" a="1"/>
  <c r="T57" i="4" s="1"/>
  <c r="T58" i="4" a="1"/>
  <c r="T58" i="4" s="1"/>
  <c r="T59" i="4" a="1"/>
  <c r="T59" i="4" s="1"/>
  <c r="T60" i="4" a="1"/>
  <c r="T60" i="4" s="1"/>
  <c r="T70" i="4" a="1"/>
  <c r="T70" i="4" s="1"/>
  <c r="T61" i="4" a="1"/>
  <c r="T61" i="4" s="1"/>
  <c r="T62" i="4" a="1"/>
  <c r="T62" i="4" s="1"/>
  <c r="T63" i="4" a="1"/>
  <c r="T63" i="4" s="1"/>
  <c r="T64" i="4" a="1"/>
  <c r="T64" i="4" s="1"/>
  <c r="T65" i="4" a="1"/>
  <c r="T65" i="4" s="1"/>
  <c r="T66" i="4" a="1"/>
  <c r="T66" i="4" s="1"/>
  <c r="T67" i="4" a="1"/>
  <c r="T67" i="4" s="1"/>
  <c r="T68" i="4" a="1"/>
  <c r="T68" i="4" s="1"/>
  <c r="T69" i="4" a="1"/>
  <c r="T69" i="4" s="1"/>
  <c r="G19" i="4" a="1"/>
  <c r="G19" i="4" s="1"/>
  <c r="K19" i="4" s="1" a="1"/>
  <c r="K19" i="4" s="1"/>
  <c r="C19" i="4"/>
  <c r="G4" i="4" a="1"/>
  <c r="G4" i="4" s="1"/>
  <c r="K4" i="4" s="1" a="1"/>
  <c r="K4" i="4" s="1"/>
  <c r="C4" i="4"/>
  <c r="G3" i="4" a="1"/>
  <c r="G3" i="4" s="1"/>
  <c r="K3" i="4" s="1" a="1"/>
  <c r="K3" i="4" s="1"/>
  <c r="C3" i="4"/>
  <c r="G2" i="4" a="1"/>
  <c r="G2" i="4" s="1"/>
  <c r="K2" i="4" s="1" a="1"/>
  <c r="K2" i="4" s="1"/>
  <c r="C2" i="4"/>
  <c r="AI24" i="14" l="1"/>
  <c r="AI41" i="14"/>
  <c r="AF5" i="14"/>
  <c r="AJ59" i="4"/>
  <c r="AQ59" i="4"/>
  <c r="AQ14" i="4"/>
  <c r="AG14" i="4"/>
  <c r="AQ36" i="4"/>
  <c r="AK51" i="4"/>
  <c r="AO51" i="4"/>
  <c r="AR27" i="4"/>
  <c r="AM27" i="4"/>
  <c r="AO27" i="4"/>
  <c r="AM38" i="4"/>
  <c r="AQ38" i="4"/>
  <c r="AK52" i="4"/>
  <c r="AO52" i="4"/>
  <c r="AI45" i="4"/>
  <c r="AL45" i="4"/>
  <c r="AQ12" i="4"/>
  <c r="AJ12" i="4"/>
  <c r="AN57" i="4"/>
  <c r="AH57" i="4"/>
  <c r="AO48" i="4"/>
  <c r="AJ37" i="4"/>
  <c r="AP36" i="4"/>
  <c r="AH48" i="4"/>
  <c r="AG36" i="4"/>
  <c r="AO26" i="4"/>
  <c r="AL26" i="4"/>
  <c r="AN66" i="4"/>
  <c r="AO66" i="4"/>
  <c r="AI66" i="4"/>
  <c r="AR66" i="4"/>
  <c r="AM66" i="4"/>
  <c r="AH66" i="4"/>
  <c r="AL66" i="4"/>
  <c r="AF66" i="4"/>
  <c r="AP66" i="4"/>
  <c r="AK31" i="4"/>
  <c r="AH31" i="4"/>
  <c r="AJ31" i="4"/>
  <c r="AQ31" i="4"/>
  <c r="AI31" i="4"/>
  <c r="AP31" i="4"/>
  <c r="AN31" i="4"/>
  <c r="AM31" i="4"/>
  <c r="AM19" i="4"/>
  <c r="AF19" i="4"/>
  <c r="AJ19" i="4"/>
  <c r="AN22" i="4"/>
  <c r="AR22" i="4"/>
  <c r="AP22" i="4"/>
  <c r="AM22" i="4"/>
  <c r="AH22" i="4"/>
  <c r="AL22" i="4"/>
  <c r="AF22" i="4"/>
  <c r="AO22" i="4"/>
  <c r="AI22" i="4"/>
  <c r="AI46" i="4"/>
  <c r="AL46" i="4"/>
  <c r="AG29" i="4"/>
  <c r="AR29" i="4"/>
  <c r="AH29" i="4"/>
  <c r="AF44" i="4"/>
  <c r="AM44" i="4"/>
  <c r="AH44" i="4"/>
  <c r="AN44" i="4"/>
  <c r="AR44" i="4"/>
  <c r="AL44" i="4"/>
  <c r="AP44" i="4"/>
  <c r="AO44" i="4"/>
  <c r="AI44" i="4"/>
  <c r="AQ13" i="4"/>
  <c r="AJ13" i="4"/>
  <c r="AM56" i="4"/>
  <c r="AQ56" i="4"/>
  <c r="AI56" i="4"/>
  <c r="AH56" i="4"/>
  <c r="AK56" i="4"/>
  <c r="AJ56" i="4"/>
  <c r="AP56" i="4"/>
  <c r="AN56" i="4"/>
  <c r="AK55" i="4"/>
  <c r="AN55" i="4"/>
  <c r="AH55" i="4"/>
  <c r="AP11" i="4"/>
  <c r="AJ11" i="4"/>
  <c r="AL11" i="4"/>
  <c r="AN11" i="4"/>
  <c r="AO11" i="4"/>
  <c r="AQ11" i="4"/>
  <c r="AM11" i="4"/>
  <c r="AH11" i="4"/>
  <c r="AI11" i="4"/>
  <c r="AK54" i="4"/>
  <c r="AH54" i="4"/>
  <c r="AR54" i="4"/>
  <c r="AN7" i="4"/>
  <c r="AH7" i="4"/>
  <c r="AI68" i="4"/>
  <c r="AL68" i="4"/>
  <c r="AN6" i="4"/>
  <c r="AH6" i="4"/>
  <c r="AP43" i="4"/>
  <c r="AI43" i="4"/>
  <c r="AI67" i="4"/>
  <c r="AL67" i="4"/>
  <c r="AL9" i="4"/>
  <c r="AI9" i="4"/>
  <c r="AQ70" i="4"/>
  <c r="AF52" i="4"/>
  <c r="AK28" i="4"/>
  <c r="AI61" i="4"/>
  <c r="AJ70" i="4"/>
  <c r="AJ60" i="4"/>
  <c r="AP60" i="4"/>
  <c r="AN60" i="4"/>
  <c r="AF51" i="4"/>
  <c r="AR52" i="4"/>
  <c r="AG22" i="4"/>
  <c r="AK27" i="4"/>
  <c r="AG66" i="4"/>
  <c r="AJ61" i="4"/>
  <c r="AJ38" i="4"/>
  <c r="AF27" i="4"/>
  <c r="AJ36" i="4"/>
  <c r="AP37" i="4"/>
  <c r="AL48" i="4"/>
  <c r="AR51" i="4"/>
  <c r="AN48" i="4"/>
  <c r="AJ52" i="4"/>
  <c r="AF28" i="4"/>
  <c r="AJ14" i="4"/>
  <c r="AK26" i="4"/>
  <c r="AF48" i="4"/>
  <c r="AR26" i="4"/>
  <c r="AQ37" i="4"/>
  <c r="AP70" i="4"/>
  <c r="AR48" i="4"/>
  <c r="AR36" i="4"/>
  <c r="AL51" i="4"/>
  <c r="AG56" i="4"/>
  <c r="AG38" i="4"/>
  <c r="AG9" i="4"/>
  <c r="AH33" i="4"/>
  <c r="AM60" i="4"/>
  <c r="AG37" i="4"/>
  <c r="AG7" i="4"/>
  <c r="AG69" i="4"/>
  <c r="AG55" i="4"/>
  <c r="AG6" i="4"/>
  <c r="AM17" i="4"/>
  <c r="AJ17" i="4"/>
  <c r="AP17" i="4"/>
  <c r="AI17" i="4"/>
  <c r="AL17" i="4"/>
  <c r="AQ17" i="4"/>
  <c r="AI50" i="4"/>
  <c r="AO50" i="4"/>
  <c r="AQ50" i="4"/>
  <c r="AL50" i="4"/>
  <c r="AN50" i="4"/>
  <c r="AP50" i="4"/>
  <c r="AH50" i="4"/>
  <c r="AJ50" i="4"/>
  <c r="AM50" i="4"/>
  <c r="AR50" i="4"/>
  <c r="AK50" i="4"/>
  <c r="AF50" i="4"/>
  <c r="AM63" i="4"/>
  <c r="AF63" i="4"/>
  <c r="AP63" i="4"/>
  <c r="AJ63" i="4"/>
  <c r="AQ63" i="4"/>
  <c r="AO63" i="4"/>
  <c r="AL63" i="4"/>
  <c r="AN63" i="4"/>
  <c r="AH63" i="4"/>
  <c r="AK63" i="4"/>
  <c r="AI63" i="4"/>
  <c r="AR63" i="4"/>
  <c r="AM41" i="4"/>
  <c r="AJ41" i="4"/>
  <c r="AF41" i="4"/>
  <c r="AQ41" i="4"/>
  <c r="AP41" i="4"/>
  <c r="AN41" i="4"/>
  <c r="AH41" i="4"/>
  <c r="AL41" i="4"/>
  <c r="AK41" i="4"/>
  <c r="AR41" i="4"/>
  <c r="AI41" i="4"/>
  <c r="AO41" i="4"/>
  <c r="AK64" i="4"/>
  <c r="AM64" i="4"/>
  <c r="AI64" i="4"/>
  <c r="AJ64" i="4"/>
  <c r="AL64" i="4"/>
  <c r="AQ64" i="4"/>
  <c r="AO64" i="4"/>
  <c r="AN64" i="4"/>
  <c r="AH64" i="4"/>
  <c r="AR64" i="4"/>
  <c r="AF64" i="4"/>
  <c r="AJ8" i="4"/>
  <c r="AH8" i="4"/>
  <c r="AQ8" i="4"/>
  <c r="AN8" i="4"/>
  <c r="AI8" i="4"/>
  <c r="AF8" i="4"/>
  <c r="AR8" i="4"/>
  <c r="AK8" i="4"/>
  <c r="AL8" i="4"/>
  <c r="AP8" i="4"/>
  <c r="AO8" i="4"/>
  <c r="AP46" i="4"/>
  <c r="AF46" i="4"/>
  <c r="AM46" i="4"/>
  <c r="AJ46" i="4"/>
  <c r="AQ46" i="4"/>
  <c r="AK46" i="4"/>
  <c r="AO46" i="4"/>
  <c r="AN46" i="4"/>
  <c r="AH46" i="4"/>
  <c r="AR46" i="4"/>
  <c r="AF29" i="4"/>
  <c r="AL29" i="4"/>
  <c r="AO29" i="4"/>
  <c r="AJ29" i="4"/>
  <c r="AI29" i="4"/>
  <c r="AP29" i="4"/>
  <c r="AN29" i="4"/>
  <c r="AM29" i="4"/>
  <c r="AQ29" i="4"/>
  <c r="AN34" i="4"/>
  <c r="AH34" i="4"/>
  <c r="AK34" i="4"/>
  <c r="AR34" i="4"/>
  <c r="AF34" i="4"/>
  <c r="AJ34" i="4"/>
  <c r="AO34" i="4"/>
  <c r="AL34" i="4"/>
  <c r="AI34" i="4"/>
  <c r="AP34" i="4"/>
  <c r="AM34" i="4"/>
  <c r="AO53" i="4"/>
  <c r="AH53" i="4"/>
  <c r="AL53" i="4"/>
  <c r="AI53" i="4"/>
  <c r="AP53" i="4"/>
  <c r="AM53" i="4"/>
  <c r="AQ53" i="4"/>
  <c r="AN53" i="4"/>
  <c r="AJ53" i="4"/>
  <c r="AJ62" i="4"/>
  <c r="AN62" i="4"/>
  <c r="AQ62" i="4"/>
  <c r="AH62" i="4"/>
  <c r="AF62" i="4"/>
  <c r="AK62" i="4"/>
  <c r="AR62" i="4"/>
  <c r="AO62" i="4"/>
  <c r="AL62" i="4"/>
  <c r="AI62" i="4"/>
  <c r="AP62" i="4"/>
  <c r="AI47" i="4"/>
  <c r="AF47" i="4"/>
  <c r="AP47" i="4"/>
  <c r="AR47" i="4"/>
  <c r="AM47" i="4"/>
  <c r="AN47" i="4"/>
  <c r="AH47" i="4"/>
  <c r="AO47" i="4"/>
  <c r="AJ47" i="4"/>
  <c r="AQ47" i="4"/>
  <c r="AK47" i="4"/>
  <c r="AP45" i="4"/>
  <c r="AF45" i="4"/>
  <c r="AM45" i="4"/>
  <c r="AJ45" i="4"/>
  <c r="AK45" i="4"/>
  <c r="AQ45" i="4"/>
  <c r="AO45" i="4"/>
  <c r="AN45" i="4"/>
  <c r="AH45" i="4"/>
  <c r="AR45" i="4"/>
  <c r="AP64" i="4"/>
  <c r="AO28" i="4"/>
  <c r="AN28" i="4"/>
  <c r="AL28" i="4"/>
  <c r="AI28" i="4"/>
  <c r="AQ28" i="4"/>
  <c r="AP28" i="4"/>
  <c r="AH28" i="4"/>
  <c r="AM28" i="4"/>
  <c r="AJ28" i="4"/>
  <c r="AN35" i="4"/>
  <c r="AH35" i="4"/>
  <c r="AF35" i="4"/>
  <c r="AK35" i="4"/>
  <c r="AP35" i="4"/>
  <c r="AR35" i="4"/>
  <c r="AO35" i="4"/>
  <c r="AL35" i="4"/>
  <c r="AM35" i="4"/>
  <c r="AI35" i="4"/>
  <c r="AN59" i="4"/>
  <c r="AH59" i="4"/>
  <c r="AK59" i="4"/>
  <c r="AR59" i="4"/>
  <c r="AF59" i="4"/>
  <c r="AO59" i="4"/>
  <c r="AP59" i="4"/>
  <c r="AL59" i="4"/>
  <c r="AI59" i="4"/>
  <c r="AM59" i="4"/>
  <c r="AO43" i="4"/>
  <c r="AM43" i="4"/>
  <c r="AH43" i="4"/>
  <c r="AJ43" i="4"/>
  <c r="AQ43" i="4"/>
  <c r="AL43" i="4"/>
  <c r="AN43" i="4"/>
  <c r="AK43" i="4"/>
  <c r="AF43" i="4"/>
  <c r="AR43" i="4"/>
  <c r="AM20" i="4"/>
  <c r="AO20" i="4"/>
  <c r="AJ20" i="4"/>
  <c r="AQ20" i="4"/>
  <c r="AF20" i="4"/>
  <c r="AN20" i="4"/>
  <c r="AH20" i="4"/>
  <c r="AK20" i="4"/>
  <c r="AI20" i="4"/>
  <c r="AR20" i="4"/>
  <c r="AL20" i="4"/>
  <c r="AP20" i="4"/>
  <c r="AF53" i="4"/>
  <c r="AK53" i="4"/>
  <c r="AN58" i="4"/>
  <c r="AH58" i="4"/>
  <c r="AM58" i="4"/>
  <c r="AK58" i="4"/>
  <c r="AR58" i="4"/>
  <c r="AL58" i="4"/>
  <c r="AF58" i="4"/>
  <c r="AO58" i="4"/>
  <c r="AI58" i="4"/>
  <c r="AP58" i="4"/>
  <c r="AJ58" i="4"/>
  <c r="AM42" i="4"/>
  <c r="AJ42" i="4"/>
  <c r="AQ42" i="4"/>
  <c r="AK42" i="4"/>
  <c r="AN42" i="4"/>
  <c r="AH42" i="4"/>
  <c r="AO42" i="4"/>
  <c r="AR42" i="4"/>
  <c r="AF42" i="4"/>
  <c r="AI42" i="4"/>
  <c r="AL42" i="4"/>
  <c r="AN14" i="4"/>
  <c r="AK14" i="4"/>
  <c r="AH14" i="4"/>
  <c r="AR14" i="4"/>
  <c r="AF14" i="4"/>
  <c r="AO14" i="4"/>
  <c r="AI14" i="4"/>
  <c r="AP14" i="4"/>
  <c r="AL14" i="4"/>
  <c r="AM14" i="4"/>
  <c r="AM21" i="4"/>
  <c r="AJ21" i="4"/>
  <c r="AQ21" i="4"/>
  <c r="AO21" i="4"/>
  <c r="AN21" i="4"/>
  <c r="AH21" i="4"/>
  <c r="AI21" i="4"/>
  <c r="AK21" i="4"/>
  <c r="AR21" i="4"/>
  <c r="AF21" i="4"/>
  <c r="AL21" i="4"/>
  <c r="AN12" i="4"/>
  <c r="AH12" i="4"/>
  <c r="AM12" i="4"/>
  <c r="AR12" i="4"/>
  <c r="AK12" i="4"/>
  <c r="AF12" i="4"/>
  <c r="AO12" i="4"/>
  <c r="AL12" i="4"/>
  <c r="AI12" i="4"/>
  <c r="AP12" i="4"/>
  <c r="AH65" i="4"/>
  <c r="AF65" i="4"/>
  <c r="AM65" i="4"/>
  <c r="AO65" i="4"/>
  <c r="AJ65" i="4"/>
  <c r="AQ65" i="4"/>
  <c r="AN65" i="4"/>
  <c r="AK65" i="4"/>
  <c r="AR65" i="4"/>
  <c r="AL65" i="4"/>
  <c r="AJ39" i="4"/>
  <c r="AN39" i="4"/>
  <c r="AH39" i="4"/>
  <c r="AL39" i="4"/>
  <c r="AQ39" i="4"/>
  <c r="AI39" i="4"/>
  <c r="AP39" i="4"/>
  <c r="AR39" i="4"/>
  <c r="AK39" i="4"/>
  <c r="AF39" i="4"/>
  <c r="AO39" i="4"/>
  <c r="AJ35" i="4"/>
  <c r="AO33" i="4"/>
  <c r="AQ33" i="4"/>
  <c r="AK33" i="4"/>
  <c r="AM33" i="4"/>
  <c r="AR33" i="4"/>
  <c r="AF33" i="4"/>
  <c r="AJ33" i="4"/>
  <c r="AL33" i="4"/>
  <c r="AI33" i="4"/>
  <c r="AP33" i="4"/>
  <c r="AR30" i="4"/>
  <c r="AF30" i="4"/>
  <c r="AM30" i="4"/>
  <c r="AO30" i="4"/>
  <c r="AL30" i="4"/>
  <c r="AJ30" i="4"/>
  <c r="AI30" i="4"/>
  <c r="AP30" i="4"/>
  <c r="AQ30" i="4"/>
  <c r="AN13" i="4"/>
  <c r="AH13" i="4"/>
  <c r="AP13" i="4"/>
  <c r="AR13" i="4"/>
  <c r="AK13" i="4"/>
  <c r="AF13" i="4"/>
  <c r="AI13" i="4"/>
  <c r="AM13" i="4"/>
  <c r="AO13" i="4"/>
  <c r="AL13" i="4"/>
  <c r="AN30" i="4"/>
  <c r="AK30" i="4"/>
  <c r="AI69" i="4"/>
  <c r="AN69" i="4"/>
  <c r="AP69" i="4"/>
  <c r="AK69" i="4"/>
  <c r="AF69" i="4"/>
  <c r="AM69" i="4"/>
  <c r="AR69" i="4"/>
  <c r="AJ69" i="4"/>
  <c r="AQ69" i="4"/>
  <c r="AH69" i="4"/>
  <c r="AO69" i="4"/>
  <c r="AR55" i="4"/>
  <c r="AF55" i="4"/>
  <c r="AQ55" i="4"/>
  <c r="AO55" i="4"/>
  <c r="AJ55" i="4"/>
  <c r="AL55" i="4"/>
  <c r="AM55" i="4"/>
  <c r="AI55" i="4"/>
  <c r="AP55" i="4"/>
  <c r="AL25" i="4"/>
  <c r="AI25" i="4"/>
  <c r="AP25" i="4"/>
  <c r="AH25" i="4"/>
  <c r="AJ25" i="4"/>
  <c r="AF25" i="4"/>
  <c r="AM25" i="4"/>
  <c r="AK25" i="4"/>
  <c r="AR25" i="4"/>
  <c r="AQ25" i="4"/>
  <c r="AN25" i="4"/>
  <c r="AP65" i="4"/>
  <c r="AI57" i="4"/>
  <c r="AK57" i="4"/>
  <c r="AO57" i="4"/>
  <c r="AQ57" i="4"/>
  <c r="AR57" i="4"/>
  <c r="AF57" i="4"/>
  <c r="AL57" i="4"/>
  <c r="AP57" i="4"/>
  <c r="AM57" i="4"/>
  <c r="AJ57" i="4"/>
  <c r="AK29" i="4"/>
  <c r="AR53" i="4"/>
  <c r="AR68" i="4"/>
  <c r="AP68" i="4"/>
  <c r="AO68" i="4"/>
  <c r="AM68" i="4"/>
  <c r="AJ68" i="4"/>
  <c r="AQ68" i="4"/>
  <c r="AK68" i="4"/>
  <c r="AF68" i="4"/>
  <c r="AN68" i="4"/>
  <c r="AH68" i="4"/>
  <c r="AF54" i="4"/>
  <c r="AJ54" i="4"/>
  <c r="AN54" i="4"/>
  <c r="AL54" i="4"/>
  <c r="AO54" i="4"/>
  <c r="AM54" i="4"/>
  <c r="AQ54" i="4"/>
  <c r="AI54" i="4"/>
  <c r="AP54" i="4"/>
  <c r="AI23" i="4"/>
  <c r="AF23" i="4"/>
  <c r="AO23" i="4"/>
  <c r="AP23" i="4"/>
  <c r="AM23" i="4"/>
  <c r="AJ23" i="4"/>
  <c r="AN23" i="4"/>
  <c r="AK23" i="4"/>
  <c r="AH23" i="4"/>
  <c r="AQ23" i="4"/>
  <c r="AR23" i="4"/>
  <c r="AR7" i="4"/>
  <c r="AK7" i="4"/>
  <c r="AJ7" i="4"/>
  <c r="AF7" i="4"/>
  <c r="AO7" i="4"/>
  <c r="AI7" i="4"/>
  <c r="AL7" i="4"/>
  <c r="AM7" i="4"/>
  <c r="AQ7" i="4"/>
  <c r="AP7" i="4"/>
  <c r="AQ34" i="4"/>
  <c r="AM62" i="4"/>
  <c r="AP67" i="4"/>
  <c r="AJ67" i="4"/>
  <c r="AM67" i="4"/>
  <c r="AH67" i="4"/>
  <c r="AK67" i="4"/>
  <c r="AO67" i="4"/>
  <c r="AR67" i="4"/>
  <c r="AF67" i="4"/>
  <c r="AQ67" i="4"/>
  <c r="AN67" i="4"/>
  <c r="AP9" i="4"/>
  <c r="AM9" i="4"/>
  <c r="AO9" i="4"/>
  <c r="AJ9" i="4"/>
  <c r="AQ9" i="4"/>
  <c r="AF9" i="4"/>
  <c r="AR9" i="4"/>
  <c r="AN9" i="4"/>
  <c r="AH9" i="4"/>
  <c r="AK9" i="4"/>
  <c r="AR6" i="4"/>
  <c r="AK6" i="4"/>
  <c r="AF6" i="4"/>
  <c r="AQ6" i="4"/>
  <c r="AO6" i="4"/>
  <c r="AI6" i="4"/>
  <c r="AL6" i="4"/>
  <c r="AP6" i="4"/>
  <c r="AM6" i="4"/>
  <c r="AJ6" i="4"/>
  <c r="AP38" i="4"/>
  <c r="AG35" i="4"/>
  <c r="AH51" i="4"/>
  <c r="AI37" i="4"/>
  <c r="AG20" i="4"/>
  <c r="AK66" i="4"/>
  <c r="AK44" i="4"/>
  <c r="AK22" i="4"/>
  <c r="AL60" i="4"/>
  <c r="AL36" i="4"/>
  <c r="AQ51" i="4"/>
  <c r="AQ26" i="4"/>
  <c r="AG65" i="4"/>
  <c r="AG48" i="4"/>
  <c r="AG31" i="4"/>
  <c r="AG8" i="4"/>
  <c r="AN27" i="4"/>
  <c r="AQ27" i="4"/>
  <c r="AO61" i="4"/>
  <c r="AO38" i="4"/>
  <c r="AO19" i="4"/>
  <c r="AQ48" i="4"/>
  <c r="AG64" i="4"/>
  <c r="AG30" i="4"/>
  <c r="AO70" i="4"/>
  <c r="AO37" i="4"/>
  <c r="AO17" i="4"/>
  <c r="AG63" i="4"/>
  <c r="AG47" i="4"/>
  <c r="AG54" i="4"/>
  <c r="AG67" i="4"/>
  <c r="AG52" i="4"/>
  <c r="AQ52" i="4"/>
  <c r="AH52" i="4"/>
  <c r="AI70" i="4"/>
  <c r="AJ51" i="4"/>
  <c r="AF61" i="4"/>
  <c r="AJ48" i="4"/>
  <c r="AF70" i="4"/>
  <c r="AF37" i="4"/>
  <c r="AF17" i="4"/>
  <c r="AL56" i="4"/>
  <c r="AL31" i="4"/>
  <c r="AM48" i="4"/>
  <c r="AR61" i="4"/>
  <c r="AR38" i="4"/>
  <c r="AR19" i="4"/>
  <c r="AG61" i="4"/>
  <c r="AG45" i="4"/>
  <c r="AG17" i="4"/>
  <c r="AN52" i="4"/>
  <c r="AN51" i="4"/>
  <c r="AJ26" i="4"/>
  <c r="AM51" i="4"/>
  <c r="AM26" i="4"/>
  <c r="AO60" i="4"/>
  <c r="AO36" i="4"/>
  <c r="AG62" i="4"/>
  <c r="AG46" i="4"/>
  <c r="AF60" i="4"/>
  <c r="AF36" i="4"/>
  <c r="AK61" i="4"/>
  <c r="AK38" i="4"/>
  <c r="AK17" i="4"/>
  <c r="AQ66" i="4"/>
  <c r="AQ44" i="4"/>
  <c r="AQ22" i="4"/>
  <c r="AR70" i="4"/>
  <c r="AR37" i="4"/>
  <c r="AR17" i="4"/>
  <c r="AG70" i="4"/>
  <c r="AG44" i="4"/>
  <c r="AG28" i="4"/>
  <c r="AG68" i="4"/>
  <c r="AH26" i="4"/>
  <c r="AN26" i="4"/>
  <c r="AL38" i="4"/>
  <c r="AI60" i="4"/>
  <c r="AL37" i="4"/>
  <c r="AJ27" i="4"/>
  <c r="AM52" i="4"/>
  <c r="AK37" i="4"/>
  <c r="AP52" i="4"/>
  <c r="AP27" i="4"/>
  <c r="AG60" i="4"/>
  <c r="AH61" i="4"/>
  <c r="AH38" i="4"/>
  <c r="AH17" i="4"/>
  <c r="AJ66" i="4"/>
  <c r="AJ44" i="4"/>
  <c r="AJ22" i="4"/>
  <c r="AK60" i="4"/>
  <c r="AK36" i="4"/>
  <c r="AN61" i="4"/>
  <c r="AN38" i="4"/>
  <c r="AN19" i="4"/>
  <c r="AO56" i="4"/>
  <c r="AO31" i="4"/>
  <c r="AP51" i="4"/>
  <c r="AP26" i="4"/>
  <c r="AG59" i="4"/>
  <c r="AG43" i="4"/>
  <c r="AG26" i="4"/>
  <c r="AH27" i="4"/>
  <c r="AG53" i="4"/>
  <c r="AH70" i="4"/>
  <c r="AH37" i="4"/>
  <c r="AF11" i="4"/>
  <c r="AI52" i="4"/>
  <c r="AI27" i="4"/>
  <c r="AN70" i="4"/>
  <c r="AN37" i="4"/>
  <c r="AN17" i="4"/>
  <c r="AP48" i="4"/>
  <c r="AG58" i="4"/>
  <c r="AG42" i="4"/>
  <c r="AG13" i="4"/>
  <c r="AG50" i="4"/>
  <c r="AI38" i="4"/>
  <c r="AG21" i="4"/>
  <c r="AL61" i="4"/>
  <c r="AR60" i="4"/>
  <c r="AH60" i="4"/>
  <c r="AF56" i="4"/>
  <c r="AL52" i="4"/>
  <c r="AL27" i="4"/>
  <c r="AN36" i="4"/>
  <c r="AR11" i="4"/>
  <c r="AG25" i="4"/>
  <c r="AG12" i="4"/>
  <c r="AP61" i="4"/>
  <c r="AG34" i="4"/>
  <c r="AG51" i="4"/>
  <c r="AI36" i="4"/>
  <c r="AG33" i="4"/>
  <c r="AF38" i="4"/>
  <c r="AG27" i="4"/>
  <c r="AH36" i="4"/>
  <c r="AF31" i="4"/>
  <c r="AI51" i="4"/>
  <c r="AI26" i="4"/>
  <c r="AK11" i="4"/>
  <c r="AI48" i="4"/>
  <c r="AQ61" i="4"/>
  <c r="AQ19" i="4"/>
  <c r="AR56" i="4"/>
  <c r="AR31" i="4"/>
  <c r="AG57" i="4"/>
  <c r="AG41" i="4"/>
  <c r="AG23" i="4"/>
  <c r="AL70" i="4"/>
  <c r="AK70" i="4"/>
  <c r="AG39" i="4"/>
  <c r="AG11" i="4"/>
  <c r="AI4" i="4"/>
  <c r="AO4" i="4"/>
  <c r="AH4" i="4"/>
  <c r="AM4" i="4"/>
  <c r="AF4" i="4"/>
  <c r="AK4" i="4"/>
  <c r="AL4" i="4"/>
  <c r="AM3" i="4"/>
  <c r="AO3" i="4"/>
  <c r="AL3" i="4"/>
  <c r="AM2" i="4"/>
  <c r="AN2" i="4"/>
  <c r="AI2" i="4"/>
  <c r="AL2" i="4"/>
  <c r="AJ2" i="4"/>
  <c r="AP2" i="4"/>
  <c r="AH3" i="4"/>
  <c r="AN4" i="4"/>
  <c r="AO2" i="4"/>
  <c r="AI19" i="4"/>
  <c r="AN3" i="4"/>
  <c r="AK3" i="4"/>
  <c r="AJ4" i="4"/>
  <c r="AK2" i="4"/>
  <c r="AJ3" i="4"/>
  <c r="AP19" i="4"/>
  <c r="AF3" i="4"/>
  <c r="AQ4" i="4"/>
  <c r="AR2" i="4"/>
  <c r="AR4" i="4"/>
  <c r="AL19" i="4"/>
  <c r="AP4" i="4"/>
  <c r="AQ2" i="4"/>
  <c r="AI3" i="4"/>
  <c r="AR3" i="4"/>
  <c r="AQ3" i="4"/>
  <c r="AK19" i="4"/>
  <c r="AP3" i="4"/>
  <c r="AG19" i="4"/>
  <c r="AG4" i="4"/>
  <c r="AG2" i="4"/>
  <c r="AH2" i="4"/>
  <c r="AH19" i="4"/>
  <c r="AG3" i="4"/>
  <c r="AI42" i="14" l="1"/>
  <c r="AI43" i="14" s="1"/>
  <c r="AI25" i="14"/>
  <c r="AI26" i="14" s="1"/>
  <c r="AF6" i="14"/>
  <c r="G7" i="4" a="1"/>
  <c r="G7" i="4" s="1"/>
  <c r="K7" i="4" s="1" a="1"/>
  <c r="K7" i="4" s="1"/>
  <c r="C7" i="4"/>
  <c r="G6" i="4" a="1"/>
  <c r="G6" i="4" s="1"/>
  <c r="K6" i="4" s="1" a="1"/>
  <c r="K6" i="4" s="1"/>
  <c r="C6" i="4"/>
  <c r="G18" i="4" a="1"/>
  <c r="G18" i="4" s="1"/>
  <c r="K18" i="4" s="1" a="1"/>
  <c r="K18" i="4" s="1"/>
  <c r="B11" i="14"/>
  <c r="C18" i="4"/>
  <c r="H8" i="16" a="1"/>
  <c r="H8" i="16" s="1"/>
  <c r="G7" i="16" a="1"/>
  <c r="G7" i="16" s="1"/>
  <c r="H7" i="16" s="1" a="1"/>
  <c r="H7" i="16" s="1"/>
  <c r="AF7" i="14" l="1"/>
  <c r="AF8" i="14" s="1"/>
  <c r="AI27" i="14"/>
  <c r="AI28" i="14" s="1"/>
  <c r="AD29" i="14" s="1"/>
  <c r="AD30" i="14" s="1"/>
  <c r="R112" i="1" s="1"/>
  <c r="AI44" i="14"/>
  <c r="AI45" i="14" s="1"/>
  <c r="AK18" i="4"/>
  <c r="AR18" i="4"/>
  <c r="AO18" i="4"/>
  <c r="AP18" i="4"/>
  <c r="AL18" i="4"/>
  <c r="AF18" i="4"/>
  <c r="AM18" i="4"/>
  <c r="AI18" i="4"/>
  <c r="AQ18" i="4"/>
  <c r="AJ18" i="4"/>
  <c r="AN18" i="4"/>
  <c r="AG18" i="4"/>
  <c r="AH18" i="4"/>
  <c r="AF9" i="14" l="1"/>
  <c r="AF10" i="14" s="1"/>
  <c r="AA11" i="14" s="1"/>
  <c r="AA12" i="14" s="1"/>
  <c r="R61" i="1" s="1"/>
  <c r="AD46" i="14"/>
  <c r="AD47" i="14" s="1"/>
  <c r="AI47" i="14"/>
  <c r="G4" i="16" a="1"/>
  <c r="G4" i="16" s="1"/>
  <c r="G5" i="16" a="1"/>
  <c r="G5" i="16" s="1"/>
  <c r="G6" i="16" a="1"/>
  <c r="G6" i="16" s="1"/>
  <c r="H6" i="16" s="1" a="1"/>
  <c r="H6" i="16" s="1"/>
  <c r="Q166" i="1"/>
  <c r="R163" i="1" l="1"/>
  <c r="Q115" i="1"/>
  <c r="B10" i="14"/>
  <c r="R166" i="1" s="1"/>
  <c r="B6" i="14"/>
  <c r="S22" i="14" s="1"/>
  <c r="B2" i="14"/>
  <c r="AG11" i="14" l="1"/>
  <c r="AI56" i="14"/>
  <c r="AI58" i="14"/>
  <c r="AI57" i="14"/>
  <c r="AI55" i="14"/>
  <c r="AI62" i="14"/>
  <c r="AI59" i="14"/>
  <c r="AI61" i="14"/>
  <c r="AI60" i="14"/>
  <c r="Q152" i="1"/>
  <c r="R64" i="1"/>
  <c r="R115" i="1"/>
  <c r="Q52" i="1"/>
  <c r="Q101" i="1"/>
  <c r="AJ38" i="14"/>
  <c r="J64" i="14" l="1"/>
  <c r="V64" i="14"/>
  <c r="T64" i="14"/>
  <c r="P64" i="14"/>
  <c r="B35" i="14"/>
  <c r="AB55" i="14" s="1"/>
  <c r="B34" i="14"/>
  <c r="B33" i="14"/>
  <c r="B32" i="14"/>
  <c r="M55" i="14" s="1"/>
  <c r="B31" i="14"/>
  <c r="B30" i="14"/>
  <c r="I55" i="14" s="1"/>
  <c r="AJ21" i="14"/>
  <c r="AB64" i="14" l="1"/>
  <c r="AB56" i="14"/>
  <c r="AB57" i="14" s="1"/>
  <c r="AB58" i="14" s="1"/>
  <c r="AB59" i="14" s="1"/>
  <c r="AB60" i="14" s="1"/>
  <c r="AB61" i="14" s="1"/>
  <c r="AB63" i="14"/>
  <c r="I63" i="14"/>
  <c r="I64" i="14"/>
  <c r="M56" i="14"/>
  <c r="M57" i="14" s="1"/>
  <c r="M58" i="14" s="1"/>
  <c r="M59" i="14" s="1"/>
  <c r="M60" i="14" s="1"/>
  <c r="M61" i="14" s="1"/>
  <c r="M64" i="14" s="1"/>
  <c r="B21" i="14"/>
  <c r="H5" i="16" a="1"/>
  <c r="H5" i="16" s="1"/>
  <c r="B38" i="14"/>
  <c r="C11" i="4"/>
  <c r="C12" i="4"/>
  <c r="C13" i="4"/>
  <c r="C14" i="4"/>
  <c r="C17" i="4"/>
  <c r="C8" i="4"/>
  <c r="C20" i="4"/>
  <c r="C21" i="4"/>
  <c r="C22" i="4"/>
  <c r="C9" i="4"/>
  <c r="C23" i="4"/>
  <c r="C25" i="4"/>
  <c r="C26" i="4"/>
  <c r="C27" i="4"/>
  <c r="C28" i="4"/>
  <c r="C29" i="4"/>
  <c r="C30" i="4"/>
  <c r="C31" i="4"/>
  <c r="C33" i="4"/>
  <c r="C34" i="4"/>
  <c r="C35" i="4"/>
  <c r="C36" i="4"/>
  <c r="C37" i="4"/>
  <c r="C38" i="4"/>
  <c r="C39" i="4"/>
  <c r="C41" i="4"/>
  <c r="C42" i="4"/>
  <c r="C43" i="4"/>
  <c r="C44" i="4"/>
  <c r="C45" i="4"/>
  <c r="C46" i="4"/>
  <c r="C47" i="4"/>
  <c r="C48" i="4"/>
  <c r="C51" i="4"/>
  <c r="C52" i="4"/>
  <c r="C53" i="4"/>
  <c r="C50" i="4"/>
  <c r="C54" i="4"/>
  <c r="C55" i="4"/>
  <c r="C56" i="4"/>
  <c r="C57" i="4"/>
  <c r="C58" i="4"/>
  <c r="C59" i="4"/>
  <c r="C60" i="4"/>
  <c r="C70" i="4"/>
  <c r="C61" i="4"/>
  <c r="C62" i="4"/>
  <c r="C63" i="4"/>
  <c r="C64" i="4"/>
  <c r="C65" i="4"/>
  <c r="C66" i="4"/>
  <c r="C67" i="4"/>
  <c r="C68" i="4"/>
  <c r="C69" i="4"/>
  <c r="J42" i="14"/>
  <c r="B20" i="14"/>
  <c r="G2" i="16" a="1"/>
  <c r="G2" i="16" s="1"/>
  <c r="L7" i="1" s="1" a="1"/>
  <c r="L7" i="1" s="1"/>
  <c r="R109" i="1" l="1"/>
  <c r="R113" i="1" s="1"/>
  <c r="Z22" i="14"/>
  <c r="R160" i="1"/>
  <c r="R58" i="1"/>
  <c r="R62" i="1" s="1"/>
  <c r="Z39" i="14"/>
  <c r="R162" i="1" s="1"/>
  <c r="R164" i="1" s="1"/>
  <c r="Z41" i="14"/>
  <c r="Z40" i="14"/>
  <c r="M63" i="14"/>
  <c r="Q167" i="1"/>
  <c r="Q168" i="1" s="1"/>
  <c r="Q169" i="1" s="1"/>
  <c r="K55" i="14"/>
  <c r="L59" i="14"/>
  <c r="L58" i="14"/>
  <c r="L56" i="14"/>
  <c r="L55" i="14"/>
  <c r="L60" i="14"/>
  <c r="L61" i="14"/>
  <c r="L57" i="14"/>
  <c r="Z43" i="14"/>
  <c r="Z45" i="14"/>
  <c r="Z42" i="14"/>
  <c r="Z44" i="14"/>
  <c r="B50" i="14" a="1"/>
  <c r="B50" i="14" s="1"/>
  <c r="Q65" i="1"/>
  <c r="Q66" i="1" s="1"/>
  <c r="Q67" i="1" s="1"/>
  <c r="Q116" i="1"/>
  <c r="Q117" i="1" s="1"/>
  <c r="Q118" i="1" s="1"/>
  <c r="B7" i="14"/>
  <c r="AB22" i="14"/>
  <c r="X4" i="14"/>
  <c r="H4" i="16" a="1"/>
  <c r="H4" i="16" s="1"/>
  <c r="J7" i="1" a="1"/>
  <c r="J7" i="1" s="1"/>
  <c r="K7" i="1" a="1"/>
  <c r="K7" i="1" s="1"/>
  <c r="M7" i="1" a="1"/>
  <c r="M7" i="1" s="1"/>
  <c r="I39" i="14"/>
  <c r="Q153" i="1" s="1"/>
  <c r="J45" i="14"/>
  <c r="J39" i="14"/>
  <c r="Q154" i="1" s="1"/>
  <c r="J40" i="14"/>
  <c r="J44" i="14"/>
  <c r="J41" i="14"/>
  <c r="L40" i="14"/>
  <c r="L45" i="14"/>
  <c r="L43" i="14"/>
  <c r="L39" i="14"/>
  <c r="K39" i="14"/>
  <c r="L42" i="14"/>
  <c r="L41" i="14"/>
  <c r="L44" i="14"/>
  <c r="P43" i="14"/>
  <c r="P42" i="14"/>
  <c r="P39" i="14"/>
  <c r="Q156" i="1" s="1"/>
  <c r="P44" i="14"/>
  <c r="P41" i="14"/>
  <c r="P40" i="14"/>
  <c r="P45" i="14"/>
  <c r="H2" i="16" a="1"/>
  <c r="H2" i="16" s="1"/>
  <c r="B19" i="14"/>
  <c r="J43" i="14"/>
  <c r="AJ41" i="14"/>
  <c r="AJ39" i="14"/>
  <c r="AJ45" i="14"/>
  <c r="AJ46" i="14"/>
  <c r="AJ42" i="14"/>
  <c r="AJ43" i="14"/>
  <c r="AJ40" i="14"/>
  <c r="AJ44" i="14"/>
  <c r="J22" i="14"/>
  <c r="Q103" i="1" s="1"/>
  <c r="I22" i="14"/>
  <c r="Q102" i="1" s="1"/>
  <c r="P23" i="14"/>
  <c r="O7" i="14"/>
  <c r="P22" i="14"/>
  <c r="O4" i="14"/>
  <c r="O6" i="14"/>
  <c r="O10" i="14"/>
  <c r="O8" i="14"/>
  <c r="O5" i="14"/>
  <c r="P28" i="14"/>
  <c r="P27" i="14"/>
  <c r="P26" i="14"/>
  <c r="P25" i="14"/>
  <c r="O9" i="14"/>
  <c r="P24" i="14"/>
  <c r="J23" i="14"/>
  <c r="J26" i="14"/>
  <c r="J27" i="14"/>
  <c r="J25" i="14"/>
  <c r="J28" i="14"/>
  <c r="J24" i="14"/>
  <c r="AJ24" i="14"/>
  <c r="AJ29" i="14"/>
  <c r="AJ25" i="14"/>
  <c r="AJ27" i="14"/>
  <c r="AJ22" i="14"/>
  <c r="AJ28" i="14"/>
  <c r="AJ26" i="14"/>
  <c r="AJ23" i="14"/>
  <c r="K4" i="14"/>
  <c r="L26" i="14"/>
  <c r="L23" i="14"/>
  <c r="L22" i="14"/>
  <c r="L28" i="14"/>
  <c r="L27" i="14"/>
  <c r="K22" i="14"/>
  <c r="L25" i="14"/>
  <c r="L24" i="14"/>
  <c r="J4" i="14"/>
  <c r="X55" i="14" l="1"/>
  <c r="X56" i="14" s="1"/>
  <c r="X57" i="14" s="1"/>
  <c r="X58" i="14" s="1"/>
  <c r="X59" i="14" s="1"/>
  <c r="X60" i="14" s="1"/>
  <c r="X61" i="14" s="1"/>
  <c r="AI48" i="14"/>
  <c r="AH39" i="14"/>
  <c r="AH22" i="14"/>
  <c r="L63" i="14"/>
  <c r="L64" i="14"/>
  <c r="K56" i="14"/>
  <c r="Q55" i="14"/>
  <c r="U61" i="14"/>
  <c r="AF61" i="14" s="1"/>
  <c r="AK61" i="14" s="1"/>
  <c r="U55" i="14"/>
  <c r="U57" i="14"/>
  <c r="AF57" i="14" s="1"/>
  <c r="AK57" i="14" s="1"/>
  <c r="U59" i="14"/>
  <c r="AF59" i="14" s="1"/>
  <c r="AK59" i="14" s="1"/>
  <c r="U58" i="14"/>
  <c r="AF58" i="14" s="1"/>
  <c r="AK58" i="14" s="1"/>
  <c r="U56" i="14"/>
  <c r="AF56" i="14" s="1"/>
  <c r="AK56" i="14" s="1"/>
  <c r="U60" i="14"/>
  <c r="AF60" i="14" s="1"/>
  <c r="AK60" i="14" s="1"/>
  <c r="B14" i="14"/>
  <c r="Q171" i="1" s="1"/>
  <c r="Q172" i="1" s="1"/>
  <c r="Q158" i="1"/>
  <c r="R152" i="1"/>
  <c r="AE42" i="14"/>
  <c r="AA31" i="14"/>
  <c r="AA48" i="14"/>
  <c r="U22" i="14"/>
  <c r="R104" i="1"/>
  <c r="U39" i="14"/>
  <c r="V39" i="14"/>
  <c r="V48" i="14" s="1"/>
  <c r="V22" i="14"/>
  <c r="U45" i="14"/>
  <c r="U44" i="14"/>
  <c r="U43" i="14"/>
  <c r="U42" i="14"/>
  <c r="U41" i="14"/>
  <c r="U40" i="14"/>
  <c r="U27" i="14"/>
  <c r="U28" i="14"/>
  <c r="U26" i="14"/>
  <c r="U25" i="14"/>
  <c r="U24" i="14"/>
  <c r="U23" i="14"/>
  <c r="R53" i="1"/>
  <c r="R155" i="1"/>
  <c r="R167" i="1"/>
  <c r="R168" i="1" s="1"/>
  <c r="R169" i="1" s="1"/>
  <c r="R66" i="1"/>
  <c r="R67" i="1" s="1"/>
  <c r="R116" i="1"/>
  <c r="R117" i="1" s="1"/>
  <c r="R118" i="1" s="1"/>
  <c r="Q54" i="1"/>
  <c r="Q56" i="1" s="1"/>
  <c r="Q105" i="1"/>
  <c r="Q107" i="1" s="1"/>
  <c r="R52" i="1"/>
  <c r="R101" i="1"/>
  <c r="X12" i="14"/>
  <c r="O12" i="14"/>
  <c r="X39" i="14"/>
  <c r="X40" i="14" s="1"/>
  <c r="X41" i="14" s="1"/>
  <c r="X42" i="14" s="1"/>
  <c r="X43" i="14" s="1"/>
  <c r="X44" i="14" s="1"/>
  <c r="X45" i="14" s="1"/>
  <c r="X47" i="14" s="1"/>
  <c r="R180" i="1" s="1"/>
  <c r="V4" i="14"/>
  <c r="J47" i="14"/>
  <c r="J48" i="14"/>
  <c r="P47" i="14"/>
  <c r="P48" i="14"/>
  <c r="Q38" i="14"/>
  <c r="AK38" i="14" s="1"/>
  <c r="I47" i="14"/>
  <c r="I48" i="14"/>
  <c r="Z47" i="14"/>
  <c r="R181" i="1" s="1"/>
  <c r="Z48" i="14"/>
  <c r="L48" i="14"/>
  <c r="L47" i="14"/>
  <c r="AB23" i="14"/>
  <c r="AB24" i="14" s="1"/>
  <c r="AB25" i="14" s="1"/>
  <c r="AB26" i="14" s="1"/>
  <c r="AB27" i="14" s="1"/>
  <c r="AB28" i="14" s="1"/>
  <c r="J30" i="14"/>
  <c r="J31" i="14"/>
  <c r="Z31" i="14"/>
  <c r="Z30" i="14"/>
  <c r="L30" i="14"/>
  <c r="L31" i="14"/>
  <c r="Y4" i="14"/>
  <c r="P30" i="14"/>
  <c r="P31" i="14"/>
  <c r="Q21" i="14"/>
  <c r="R21" i="14" s="1"/>
  <c r="I31" i="14"/>
  <c r="I30" i="14"/>
  <c r="K23" i="14"/>
  <c r="K24" i="14" s="1"/>
  <c r="K25" i="14" s="1"/>
  <c r="K26" i="14" s="1"/>
  <c r="K27" i="14" s="1"/>
  <c r="K28" i="14" s="1"/>
  <c r="T4" i="14"/>
  <c r="K40" i="14"/>
  <c r="K41" i="14" s="1"/>
  <c r="K42" i="14" s="1"/>
  <c r="AE45" i="14"/>
  <c r="AE40" i="14"/>
  <c r="AE43" i="14"/>
  <c r="AE41" i="14"/>
  <c r="AE39" i="14"/>
  <c r="R156" i="1" s="1"/>
  <c r="AE44" i="14"/>
  <c r="T39" i="14"/>
  <c r="X22" i="14"/>
  <c r="S4" i="14"/>
  <c r="AE22" i="14"/>
  <c r="AB7" i="14"/>
  <c r="AB6" i="14"/>
  <c r="AE27" i="14"/>
  <c r="AB10" i="14"/>
  <c r="AB4" i="14"/>
  <c r="AE26" i="14"/>
  <c r="T22" i="14"/>
  <c r="R102" i="1" s="1"/>
  <c r="AE28" i="14"/>
  <c r="AB5" i="14"/>
  <c r="AE25" i="14"/>
  <c r="AE24" i="14"/>
  <c r="AB9" i="14"/>
  <c r="AE23" i="14"/>
  <c r="AB8" i="14"/>
  <c r="G11" i="4" a="1"/>
  <c r="G11" i="4" s="1"/>
  <c r="G12" i="4" a="1"/>
  <c r="G12" i="4" s="1"/>
  <c r="K12" i="4" s="1" a="1"/>
  <c r="K12" i="4" s="1"/>
  <c r="G13" i="4" a="1"/>
  <c r="G13" i="4" s="1"/>
  <c r="K13" i="4" s="1" a="1"/>
  <c r="K13" i="4" s="1"/>
  <c r="G14" i="4" a="1"/>
  <c r="G14" i="4" s="1"/>
  <c r="K14" i="4" s="1" a="1"/>
  <c r="K14" i="4" s="1"/>
  <c r="G17" i="4" a="1"/>
  <c r="G17" i="4" s="1"/>
  <c r="K17" i="4" s="1" a="1"/>
  <c r="K17" i="4" s="1"/>
  <c r="G8" i="4" a="1"/>
  <c r="G8" i="4" s="1"/>
  <c r="G20" i="4" a="1"/>
  <c r="G20" i="4" s="1"/>
  <c r="K20" i="4" s="1" a="1"/>
  <c r="K20" i="4" s="1"/>
  <c r="G21" i="4" a="1"/>
  <c r="G21" i="4" s="1"/>
  <c r="K21" i="4" s="1" a="1"/>
  <c r="K21" i="4" s="1"/>
  <c r="G22" i="4" a="1"/>
  <c r="G22" i="4" s="1"/>
  <c r="K22" i="4" s="1" a="1"/>
  <c r="K22" i="4" s="1"/>
  <c r="G9" i="4" a="1"/>
  <c r="G9" i="4" s="1"/>
  <c r="K9" i="4" s="1" a="1"/>
  <c r="K9" i="4" s="1"/>
  <c r="G23" i="4" a="1"/>
  <c r="G23" i="4" s="1"/>
  <c r="K23" i="4" s="1" a="1"/>
  <c r="K23" i="4" s="1"/>
  <c r="G25" i="4" a="1"/>
  <c r="G25" i="4" s="1"/>
  <c r="K25" i="4" s="1" a="1"/>
  <c r="K25" i="4" s="1"/>
  <c r="G26" i="4" a="1"/>
  <c r="G26" i="4" s="1"/>
  <c r="K26" i="4" s="1" a="1"/>
  <c r="K26" i="4" s="1"/>
  <c r="G27" i="4" a="1"/>
  <c r="G27" i="4" s="1"/>
  <c r="K27" i="4" s="1" a="1"/>
  <c r="K27" i="4" s="1"/>
  <c r="G28" i="4" a="1"/>
  <c r="G28" i="4" s="1"/>
  <c r="K28" i="4" s="1" a="1"/>
  <c r="K28" i="4" s="1"/>
  <c r="G29" i="4" a="1"/>
  <c r="G29" i="4" s="1"/>
  <c r="K29" i="4" s="1" a="1"/>
  <c r="K29" i="4" s="1"/>
  <c r="G30" i="4" a="1"/>
  <c r="G30" i="4" s="1"/>
  <c r="K30" i="4" s="1" a="1"/>
  <c r="K30" i="4" s="1"/>
  <c r="G31" i="4" a="1"/>
  <c r="G31" i="4" s="1"/>
  <c r="K31" i="4" s="1" a="1"/>
  <c r="K31" i="4" s="1"/>
  <c r="G33" i="4" a="1"/>
  <c r="G33" i="4" s="1"/>
  <c r="K33" i="4" s="1" a="1"/>
  <c r="K33" i="4" s="1"/>
  <c r="G34" i="4" a="1"/>
  <c r="G34" i="4" s="1"/>
  <c r="K34" i="4" s="1" a="1"/>
  <c r="K34" i="4" s="1"/>
  <c r="G35" i="4" a="1"/>
  <c r="G35" i="4" s="1"/>
  <c r="K35" i="4" s="1" a="1"/>
  <c r="K35" i="4" s="1"/>
  <c r="G36" i="4" a="1"/>
  <c r="G36" i="4" s="1"/>
  <c r="K36" i="4" s="1" a="1"/>
  <c r="K36" i="4" s="1"/>
  <c r="G37" i="4" a="1"/>
  <c r="G37" i="4" s="1"/>
  <c r="K37" i="4" s="1" a="1"/>
  <c r="K37" i="4" s="1"/>
  <c r="G38" i="4" a="1"/>
  <c r="G38" i="4" s="1"/>
  <c r="K38" i="4" s="1" a="1"/>
  <c r="K38" i="4" s="1"/>
  <c r="G39" i="4" a="1"/>
  <c r="G39" i="4" s="1"/>
  <c r="K39" i="4" s="1" a="1"/>
  <c r="K39" i="4" s="1"/>
  <c r="G41" i="4" a="1"/>
  <c r="G41" i="4" s="1"/>
  <c r="K41" i="4" s="1" a="1"/>
  <c r="K41" i="4" s="1"/>
  <c r="G42" i="4" a="1"/>
  <c r="G42" i="4" s="1"/>
  <c r="K42" i="4" s="1" a="1"/>
  <c r="K42" i="4" s="1"/>
  <c r="G43" i="4" a="1"/>
  <c r="G43" i="4" s="1"/>
  <c r="K43" i="4" s="1" a="1"/>
  <c r="K43" i="4" s="1"/>
  <c r="G44" i="4" a="1"/>
  <c r="G44" i="4" s="1"/>
  <c r="K44" i="4" s="1" a="1"/>
  <c r="K44" i="4" s="1"/>
  <c r="G45" i="4" a="1"/>
  <c r="G45" i="4" s="1"/>
  <c r="K45" i="4" s="1" a="1"/>
  <c r="K45" i="4" s="1"/>
  <c r="G46" i="4" a="1"/>
  <c r="G46" i="4" s="1"/>
  <c r="K46" i="4" s="1" a="1"/>
  <c r="K46" i="4" s="1"/>
  <c r="G47" i="4" a="1"/>
  <c r="G47" i="4" s="1"/>
  <c r="K47" i="4" s="1" a="1"/>
  <c r="K47" i="4" s="1"/>
  <c r="G48" i="4" a="1"/>
  <c r="G48" i="4" s="1"/>
  <c r="K48" i="4" s="1" a="1"/>
  <c r="K48" i="4" s="1"/>
  <c r="G51" i="4" a="1"/>
  <c r="G51" i="4" s="1"/>
  <c r="K51" i="4" s="1" a="1"/>
  <c r="K51" i="4" s="1"/>
  <c r="G52" i="4" a="1"/>
  <c r="G52" i="4" s="1"/>
  <c r="K52" i="4" s="1" a="1"/>
  <c r="K52" i="4" s="1"/>
  <c r="G53" i="4" a="1"/>
  <c r="G53" i="4" s="1"/>
  <c r="K53" i="4" s="1" a="1"/>
  <c r="K53" i="4" s="1"/>
  <c r="G50" i="4" a="1"/>
  <c r="G50" i="4" s="1"/>
  <c r="K50" i="4" s="1" a="1"/>
  <c r="K50" i="4" s="1"/>
  <c r="G54" i="4" a="1"/>
  <c r="G54" i="4" s="1"/>
  <c r="K54" i="4" s="1" a="1"/>
  <c r="K54" i="4" s="1"/>
  <c r="G55" i="4" a="1"/>
  <c r="G55" i="4" s="1"/>
  <c r="K55" i="4" s="1" a="1"/>
  <c r="K55" i="4" s="1"/>
  <c r="G56" i="4" a="1"/>
  <c r="G56" i="4" s="1"/>
  <c r="K56" i="4" s="1" a="1"/>
  <c r="K56" i="4" s="1"/>
  <c r="G57" i="4" a="1"/>
  <c r="G57" i="4" s="1"/>
  <c r="K57" i="4" s="1" a="1"/>
  <c r="K57" i="4" s="1"/>
  <c r="G58" i="4" a="1"/>
  <c r="G58" i="4" s="1"/>
  <c r="K58" i="4" s="1" a="1"/>
  <c r="K58" i="4" s="1"/>
  <c r="G59" i="4" a="1"/>
  <c r="G59" i="4" s="1"/>
  <c r="K59" i="4" s="1" a="1"/>
  <c r="K59" i="4" s="1"/>
  <c r="G60" i="4" a="1"/>
  <c r="G60" i="4" s="1"/>
  <c r="K60" i="4" s="1" a="1"/>
  <c r="K60" i="4" s="1"/>
  <c r="G70" i="4" a="1"/>
  <c r="G70" i="4" s="1"/>
  <c r="K70" i="4" s="1" a="1"/>
  <c r="K70" i="4" s="1"/>
  <c r="G61" i="4" a="1"/>
  <c r="G61" i="4" s="1"/>
  <c r="K61" i="4" s="1" a="1"/>
  <c r="K61" i="4" s="1"/>
  <c r="G62" i="4" a="1"/>
  <c r="G62" i="4" s="1"/>
  <c r="K62" i="4" s="1" a="1"/>
  <c r="K62" i="4" s="1"/>
  <c r="G63" i="4" a="1"/>
  <c r="G63" i="4" s="1"/>
  <c r="K63" i="4" s="1" a="1"/>
  <c r="K63" i="4" s="1"/>
  <c r="G64" i="4" a="1"/>
  <c r="G64" i="4" s="1"/>
  <c r="K64" i="4" s="1" a="1"/>
  <c r="K64" i="4" s="1"/>
  <c r="G65" i="4" a="1"/>
  <c r="G65" i="4" s="1"/>
  <c r="K65" i="4" s="1" a="1"/>
  <c r="K65" i="4" s="1"/>
  <c r="G66" i="4" a="1"/>
  <c r="G66" i="4" s="1"/>
  <c r="K66" i="4" s="1" a="1"/>
  <c r="K66" i="4" s="1"/>
  <c r="G67" i="4" a="1"/>
  <c r="G67" i="4" s="1"/>
  <c r="K67" i="4" s="1" a="1"/>
  <c r="K67" i="4" s="1"/>
  <c r="G68" i="4" a="1"/>
  <c r="G68" i="4" s="1"/>
  <c r="K68" i="4" s="1" a="1"/>
  <c r="K68" i="4" s="1"/>
  <c r="G69" i="4" a="1"/>
  <c r="G69" i="4" s="1"/>
  <c r="K69" i="4" s="1" a="1"/>
  <c r="K69" i="4" s="1"/>
  <c r="X64" i="14" l="1"/>
  <c r="X63" i="14"/>
  <c r="Q120" i="1"/>
  <c r="Q121" i="1" s="1"/>
  <c r="Q69" i="1"/>
  <c r="Q70" i="1" s="1"/>
  <c r="K57" i="14"/>
  <c r="Q56" i="14"/>
  <c r="AJ56" i="14" s="1"/>
  <c r="U63" i="14"/>
  <c r="AF55" i="14"/>
  <c r="U64" i="14"/>
  <c r="R55" i="14"/>
  <c r="AJ55" i="14"/>
  <c r="R153" i="1"/>
  <c r="T48" i="14"/>
  <c r="AE4" i="14"/>
  <c r="R154" i="1"/>
  <c r="R103" i="1"/>
  <c r="K8" i="4" a="1"/>
  <c r="K8" i="4" s="1"/>
  <c r="B43" i="14"/>
  <c r="R74" i="1" s="1"/>
  <c r="B41" i="14" a="1"/>
  <c r="B41" i="14" s="1"/>
  <c r="R54" i="1"/>
  <c r="R56" i="1" s="1"/>
  <c r="R105" i="1"/>
  <c r="V47" i="14"/>
  <c r="AB12" i="14"/>
  <c r="T12" i="14"/>
  <c r="S12" i="14"/>
  <c r="E7" i="1" a="1"/>
  <c r="E7" i="1" s="1"/>
  <c r="B15" i="14"/>
  <c r="H7" i="1" a="1"/>
  <c r="H7" i="1" s="1"/>
  <c r="G7" i="1" a="1"/>
  <c r="G7" i="1" s="1"/>
  <c r="F7" i="1" a="1"/>
  <c r="F7" i="1" s="1"/>
  <c r="R38" i="14"/>
  <c r="X48" i="14"/>
  <c r="U47" i="14"/>
  <c r="U48" i="14"/>
  <c r="AE47" i="14"/>
  <c r="AE48" i="14"/>
  <c r="T47" i="14"/>
  <c r="K31" i="14"/>
  <c r="K30" i="14"/>
  <c r="Q129" i="1" s="1"/>
  <c r="U31" i="14"/>
  <c r="U30" i="14"/>
  <c r="AK21" i="14"/>
  <c r="AE31" i="14"/>
  <c r="AE30" i="14"/>
  <c r="T30" i="14"/>
  <c r="T31" i="14"/>
  <c r="AB31" i="14"/>
  <c r="AB30" i="14"/>
  <c r="R130" i="1" s="1"/>
  <c r="X23" i="14"/>
  <c r="X24" i="14" s="1"/>
  <c r="X25" i="14" s="1"/>
  <c r="X26" i="14" s="1"/>
  <c r="X27" i="14" s="1"/>
  <c r="X28" i="14" s="1"/>
  <c r="V30" i="14"/>
  <c r="V31" i="14"/>
  <c r="K43" i="14"/>
  <c r="K11" i="4" a="1"/>
  <c r="K11" i="4" s="1"/>
  <c r="I4" i="14"/>
  <c r="K8" i="14"/>
  <c r="AG10" i="14"/>
  <c r="K10" i="14"/>
  <c r="AG9" i="14"/>
  <c r="K9" i="14"/>
  <c r="AG8" i="14"/>
  <c r="AG7" i="14"/>
  <c r="AG6" i="14"/>
  <c r="AG5" i="14"/>
  <c r="AG4" i="14"/>
  <c r="R158" i="1" l="1"/>
  <c r="R56" i="14"/>
  <c r="AF64" i="14"/>
  <c r="AG55" i="14"/>
  <c r="AG56" i="14" s="1"/>
  <c r="AG57" i="14" s="1"/>
  <c r="AG58" i="14" s="1"/>
  <c r="AG59" i="14" s="1"/>
  <c r="AG60" i="14" s="1"/>
  <c r="AG61" i="14" s="1"/>
  <c r="AF63" i="14"/>
  <c r="AK55" i="14"/>
  <c r="AK64" i="14" s="1"/>
  <c r="R171" i="1"/>
  <c r="R172" i="1" s="1"/>
  <c r="Y55" i="14"/>
  <c r="K58" i="14"/>
  <c r="Q57" i="14"/>
  <c r="AE5" i="14"/>
  <c r="AE6" i="14" s="1"/>
  <c r="AE7" i="14" s="1"/>
  <c r="X13" i="14"/>
  <c r="R107" i="1"/>
  <c r="W39" i="14"/>
  <c r="R125" i="1"/>
  <c r="R176" i="1"/>
  <c r="U4" i="14"/>
  <c r="R75" i="1" s="1"/>
  <c r="W22" i="14"/>
  <c r="R126" i="1" s="1"/>
  <c r="R69" i="1"/>
  <c r="R70" i="1" s="1"/>
  <c r="R120" i="1"/>
  <c r="R121" i="1" s="1"/>
  <c r="T13" i="14"/>
  <c r="AB13" i="14"/>
  <c r="S13" i="14"/>
  <c r="O13" i="14"/>
  <c r="I13" i="14"/>
  <c r="I12" i="14"/>
  <c r="Y39" i="14"/>
  <c r="Y40" i="14" s="1"/>
  <c r="AG21" i="14"/>
  <c r="AL38" i="14"/>
  <c r="AG38" i="14"/>
  <c r="S39" i="14"/>
  <c r="K44" i="14"/>
  <c r="W4" i="14"/>
  <c r="Y22" i="14"/>
  <c r="K5" i="14"/>
  <c r="V5" i="14"/>
  <c r="K6" i="14"/>
  <c r="J5" i="14"/>
  <c r="K7" i="14"/>
  <c r="Y5" i="14"/>
  <c r="R4" i="14"/>
  <c r="AF39" i="14" l="1"/>
  <c r="AL39" i="14" s="1"/>
  <c r="Y56" i="14"/>
  <c r="Y57" i="14" s="1"/>
  <c r="Y58" i="14" s="1"/>
  <c r="Y59" i="14" s="1"/>
  <c r="Y60" i="14" s="1"/>
  <c r="Y61" i="14" s="1"/>
  <c r="AJ57" i="14"/>
  <c r="AL56" i="14"/>
  <c r="R57" i="14"/>
  <c r="K59" i="14"/>
  <c r="Q58" i="14"/>
  <c r="AJ58" i="14" s="1"/>
  <c r="AL55" i="14"/>
  <c r="AE8" i="14"/>
  <c r="AE9" i="14" s="1"/>
  <c r="AF22" i="14"/>
  <c r="AG22" i="14" s="1"/>
  <c r="R177" i="1"/>
  <c r="AM38" i="14"/>
  <c r="AM21" i="14"/>
  <c r="W40" i="14"/>
  <c r="W41" i="14" s="1"/>
  <c r="W42" i="14" s="1"/>
  <c r="W43" i="14" s="1"/>
  <c r="W23" i="14"/>
  <c r="W24" i="14" s="1"/>
  <c r="W25" i="14" s="1"/>
  <c r="W26" i="14" s="1"/>
  <c r="U5" i="14"/>
  <c r="U6" i="14" s="1"/>
  <c r="U7" i="14" s="1"/>
  <c r="U8" i="14" s="1"/>
  <c r="K12" i="14"/>
  <c r="K13" i="14"/>
  <c r="AH40" i="14"/>
  <c r="Y6" i="14"/>
  <c r="Y7" i="14" s="1"/>
  <c r="Y8" i="14" s="1"/>
  <c r="Y9" i="14" s="1"/>
  <c r="Y10" i="14" s="1"/>
  <c r="AC4" i="14"/>
  <c r="AD4" i="14" s="1"/>
  <c r="K45" i="14"/>
  <c r="AH23" i="14"/>
  <c r="AH24" i="14" s="1"/>
  <c r="AH25" i="14" s="1"/>
  <c r="AH26" i="14" s="1"/>
  <c r="AH27" i="14" s="1"/>
  <c r="S23" i="14"/>
  <c r="S40" i="14"/>
  <c r="Y41" i="14"/>
  <c r="AL21" i="14"/>
  <c r="Y23" i="14"/>
  <c r="X31" i="14"/>
  <c r="M39" i="14"/>
  <c r="J6" i="14"/>
  <c r="V6" i="14"/>
  <c r="W5" i="14"/>
  <c r="R5" i="14"/>
  <c r="AH41" i="14" l="1"/>
  <c r="AH42" i="14" s="1"/>
  <c r="Y64" i="14"/>
  <c r="Y63" i="14"/>
  <c r="K60" i="14"/>
  <c r="Q59" i="14"/>
  <c r="R58" i="14"/>
  <c r="AL57" i="14"/>
  <c r="AE10" i="14"/>
  <c r="AG39" i="14"/>
  <c r="AF40" i="14"/>
  <c r="AL40" i="14" s="1"/>
  <c r="AF23" i="14"/>
  <c r="AG23" i="14" s="1"/>
  <c r="Y12" i="14"/>
  <c r="R79" i="1" s="1"/>
  <c r="Y13" i="14"/>
  <c r="AL22" i="14"/>
  <c r="W47" i="14"/>
  <c r="R183" i="1" s="1"/>
  <c r="W48" i="14"/>
  <c r="X30" i="14"/>
  <c r="R129" i="1" s="1"/>
  <c r="AH28" i="14"/>
  <c r="AC29" i="14" s="1"/>
  <c r="M40" i="14"/>
  <c r="Q39" i="14"/>
  <c r="S24" i="14"/>
  <c r="S25" i="14" s="1"/>
  <c r="S41" i="14"/>
  <c r="Y42" i="14"/>
  <c r="AF41" i="14"/>
  <c r="AL41" i="14" s="1"/>
  <c r="W6" i="14"/>
  <c r="AC5" i="14"/>
  <c r="L4" i="14"/>
  <c r="M22" i="14"/>
  <c r="Y24" i="14"/>
  <c r="J7" i="14"/>
  <c r="V7" i="14"/>
  <c r="U12" i="14"/>
  <c r="R81" i="1" s="1"/>
  <c r="AJ4" i="14"/>
  <c r="R6" i="14"/>
  <c r="AH43" i="14" l="1"/>
  <c r="AH44" i="14" s="1"/>
  <c r="AH45" i="14" s="1"/>
  <c r="AJ59" i="14"/>
  <c r="K61" i="14"/>
  <c r="Q61" i="14" s="1"/>
  <c r="AJ61" i="14" s="1"/>
  <c r="Q60" i="14"/>
  <c r="AJ60" i="14" s="1"/>
  <c r="AL58" i="14"/>
  <c r="R59" i="14"/>
  <c r="AL23" i="14"/>
  <c r="AG40" i="14"/>
  <c r="AG41" i="14" s="1"/>
  <c r="U13" i="14"/>
  <c r="R39" i="14"/>
  <c r="AM39" i="14" s="1"/>
  <c r="Q22" i="14"/>
  <c r="R22" i="14" s="1"/>
  <c r="AM22" i="14" s="1"/>
  <c r="AF24" i="14"/>
  <c r="AG24" i="14" s="1"/>
  <c r="W31" i="14"/>
  <c r="W30" i="14"/>
  <c r="R132" i="1" s="1"/>
  <c r="AJ5" i="14"/>
  <c r="AD5" i="14"/>
  <c r="AH30" i="14"/>
  <c r="S26" i="14"/>
  <c r="S27" i="14" s="1"/>
  <c r="AK39" i="14"/>
  <c r="S42" i="14"/>
  <c r="M41" i="14"/>
  <c r="Q40" i="14"/>
  <c r="AK40" i="14" s="1"/>
  <c r="Y43" i="14"/>
  <c r="AF42" i="14"/>
  <c r="W7" i="14"/>
  <c r="AC6" i="14"/>
  <c r="AJ6" i="14" s="1"/>
  <c r="P4" i="14"/>
  <c r="L5" i="14"/>
  <c r="M23" i="14"/>
  <c r="Q23" i="14" s="1"/>
  <c r="Y25" i="14"/>
  <c r="AF25" i="14" s="1"/>
  <c r="V8" i="14"/>
  <c r="J8" i="14"/>
  <c r="R7" i="14"/>
  <c r="K63" i="14" l="1"/>
  <c r="AL59" i="14"/>
  <c r="R60" i="14"/>
  <c r="K64" i="14"/>
  <c r="AC46" i="14"/>
  <c r="AG25" i="14"/>
  <c r="S43" i="14"/>
  <c r="R23" i="14"/>
  <c r="AM23" i="14" s="1"/>
  <c r="AH31" i="14"/>
  <c r="R40" i="14"/>
  <c r="AM40" i="14" s="1"/>
  <c r="AG42" i="14"/>
  <c r="AD6" i="14"/>
  <c r="AI4" i="14"/>
  <c r="Q4" i="14"/>
  <c r="AH4" i="14" s="1"/>
  <c r="Y44" i="14"/>
  <c r="AF43" i="14"/>
  <c r="AL43" i="14" s="1"/>
  <c r="AL42" i="14"/>
  <c r="M42" i="14"/>
  <c r="Q41" i="14"/>
  <c r="S28" i="14"/>
  <c r="N29" i="14" s="1"/>
  <c r="W8" i="14"/>
  <c r="AC7" i="14"/>
  <c r="L6" i="14"/>
  <c r="P5" i="14"/>
  <c r="AI5" i="14" s="1"/>
  <c r="Y26" i="14"/>
  <c r="AF26" i="14" s="1"/>
  <c r="AL25" i="14"/>
  <c r="M24" i="14"/>
  <c r="Q24" i="14" s="1"/>
  <c r="AK23" i="14"/>
  <c r="AK22" i="14"/>
  <c r="AL24" i="14"/>
  <c r="V9" i="14"/>
  <c r="J9" i="14"/>
  <c r="R8" i="14"/>
  <c r="S44" i="14" l="1"/>
  <c r="AL60" i="14"/>
  <c r="R61" i="14"/>
  <c r="R24" i="14"/>
  <c r="AM24" i="14" s="1"/>
  <c r="AH48" i="14"/>
  <c r="AH47" i="14"/>
  <c r="AK41" i="14"/>
  <c r="K48" i="14"/>
  <c r="K47" i="14"/>
  <c r="Q180" i="1" s="1"/>
  <c r="AG26" i="14"/>
  <c r="AJ7" i="14"/>
  <c r="AD7" i="14"/>
  <c r="AG43" i="14"/>
  <c r="R41" i="14"/>
  <c r="AM41" i="14" s="1"/>
  <c r="Q5" i="14"/>
  <c r="AH5" i="14" s="1"/>
  <c r="M43" i="14"/>
  <c r="Q42" i="14"/>
  <c r="AK42" i="14" s="1"/>
  <c r="Y45" i="14"/>
  <c r="AF44" i="14"/>
  <c r="S30" i="14"/>
  <c r="W9" i="14"/>
  <c r="AC8" i="14"/>
  <c r="AJ8" i="14" s="1"/>
  <c r="L7" i="14"/>
  <c r="P6" i="14"/>
  <c r="M25" i="14"/>
  <c r="Y27" i="14"/>
  <c r="AF27" i="14" s="1"/>
  <c r="AL26" i="14"/>
  <c r="J10" i="14"/>
  <c r="V10" i="14"/>
  <c r="R9" i="14"/>
  <c r="R10" i="14" s="1"/>
  <c r="AH55" i="14" l="1"/>
  <c r="AH56" i="14" s="1"/>
  <c r="AH57" i="14" s="1"/>
  <c r="AH58" i="14" s="1"/>
  <c r="AL61" i="14"/>
  <c r="S45" i="14"/>
  <c r="M11" i="14"/>
  <c r="R13" i="14"/>
  <c r="R12" i="14"/>
  <c r="J12" i="14"/>
  <c r="Q78" i="1" s="1"/>
  <c r="J13" i="14"/>
  <c r="AI6" i="14"/>
  <c r="V13" i="14"/>
  <c r="V12" i="14"/>
  <c r="R78" i="1" s="1"/>
  <c r="AC47" i="14"/>
  <c r="R179" i="1" s="1"/>
  <c r="AC48" i="14"/>
  <c r="AG27" i="14"/>
  <c r="Q25" i="14"/>
  <c r="R25" i="14" s="1"/>
  <c r="AM25" i="14" s="1"/>
  <c r="S31" i="14"/>
  <c r="AD8" i="14"/>
  <c r="AG44" i="14"/>
  <c r="R42" i="14"/>
  <c r="AM42" i="14" s="1"/>
  <c r="Q6" i="14"/>
  <c r="AH6" i="14" s="1"/>
  <c r="AL44" i="14"/>
  <c r="M44" i="14"/>
  <c r="Q43" i="14"/>
  <c r="AF45" i="14"/>
  <c r="W10" i="14"/>
  <c r="AC9" i="14"/>
  <c r="AJ9" i="14" s="1"/>
  <c r="L8" i="14"/>
  <c r="P7" i="14"/>
  <c r="AK24" i="14"/>
  <c r="Y28" i="14"/>
  <c r="AL27" i="14"/>
  <c r="M26" i="14"/>
  <c r="Q26" i="14" s="1"/>
  <c r="N46" i="14" l="1"/>
  <c r="N47" i="14" s="1"/>
  <c r="Q157" i="1" s="1"/>
  <c r="S47" i="14"/>
  <c r="S48" i="14"/>
  <c r="AH59" i="14"/>
  <c r="R157" i="1"/>
  <c r="M12" i="14"/>
  <c r="Q77" i="1" s="1"/>
  <c r="M13" i="14"/>
  <c r="W12" i="14"/>
  <c r="R80" i="1" s="1"/>
  <c r="W13" i="14"/>
  <c r="AK25" i="14"/>
  <c r="AL45" i="14"/>
  <c r="N31" i="14"/>
  <c r="N30" i="14"/>
  <c r="Q128" i="1" s="1"/>
  <c r="AF28" i="14"/>
  <c r="AG28" i="14" s="1"/>
  <c r="R26" i="14"/>
  <c r="AM26" i="14" s="1"/>
  <c r="AI7" i="14"/>
  <c r="AG45" i="14"/>
  <c r="AD9" i="14"/>
  <c r="R43" i="14"/>
  <c r="AM43" i="14" s="1"/>
  <c r="Q7" i="14"/>
  <c r="AK43" i="14"/>
  <c r="M45" i="14"/>
  <c r="Q44" i="14"/>
  <c r="AK44" i="14" s="1"/>
  <c r="AC10" i="14"/>
  <c r="AJ10" i="14" s="1"/>
  <c r="L9" i="14"/>
  <c r="P8" i="14"/>
  <c r="AI8" i="14" s="1"/>
  <c r="M27" i="14"/>
  <c r="Q27" i="14" s="1"/>
  <c r="N48" i="14" l="1"/>
  <c r="S55" i="14"/>
  <c r="S56" i="14" s="1"/>
  <c r="S57" i="14" s="1"/>
  <c r="S58" i="14" s="1"/>
  <c r="S59" i="14" s="1"/>
  <c r="S60" i="14" s="1"/>
  <c r="S61" i="14" s="1"/>
  <c r="Q179" i="1"/>
  <c r="AH60" i="14"/>
  <c r="Q55" i="1"/>
  <c r="Q106" i="1"/>
  <c r="AL28" i="14"/>
  <c r="R27" i="14"/>
  <c r="AM27" i="14" s="1"/>
  <c r="R44" i="14"/>
  <c r="AM44" i="14" s="1"/>
  <c r="AD10" i="14"/>
  <c r="Q8" i="14"/>
  <c r="AH8" i="14" s="1"/>
  <c r="AH7" i="14"/>
  <c r="Q45" i="14"/>
  <c r="AK45" i="14" s="1"/>
  <c r="L10" i="14"/>
  <c r="P9" i="14"/>
  <c r="AI9" i="14" s="1"/>
  <c r="AK26" i="14"/>
  <c r="M28" i="14"/>
  <c r="Q28" i="14" s="1"/>
  <c r="AK27" i="14"/>
  <c r="S63" i="14" l="1"/>
  <c r="N62" i="14"/>
  <c r="S64" i="14"/>
  <c r="AH61" i="14"/>
  <c r="AH64" i="14" s="1"/>
  <c r="L12" i="14"/>
  <c r="Q80" i="1" s="1"/>
  <c r="Q82" i="1" s="1"/>
  <c r="L13" i="14"/>
  <c r="AF46" i="14"/>
  <c r="AG46" i="14" s="1"/>
  <c r="Y47" i="14"/>
  <c r="R182" i="1" s="1"/>
  <c r="R184" i="1" s="1"/>
  <c r="Y48" i="14"/>
  <c r="R28" i="14"/>
  <c r="R45" i="14"/>
  <c r="AM45" i="14" s="1"/>
  <c r="Q9" i="14"/>
  <c r="AH9" i="14" s="1"/>
  <c r="P10" i="14"/>
  <c r="AI10" i="14" s="1"/>
  <c r="AK28" i="14"/>
  <c r="AC62" i="14" l="1"/>
  <c r="AF62" i="14" s="1"/>
  <c r="N64" i="14"/>
  <c r="N63" i="14"/>
  <c r="Q62" i="14"/>
  <c r="AH63" i="14"/>
  <c r="P11" i="14"/>
  <c r="AM28" i="14"/>
  <c r="AL46" i="14"/>
  <c r="AL48" i="14" s="1"/>
  <c r="AF47" i="14"/>
  <c r="P144" i="1" s="1"/>
  <c r="AF48" i="14"/>
  <c r="Y31" i="14"/>
  <c r="Y30" i="14"/>
  <c r="R131" i="1" s="1"/>
  <c r="Q10" i="14"/>
  <c r="AC64" i="14" l="1"/>
  <c r="AC63" i="14"/>
  <c r="AJ62" i="14"/>
  <c r="AJ64" i="14" s="1"/>
  <c r="Q64" i="14"/>
  <c r="Q63" i="14"/>
  <c r="R62" i="14"/>
  <c r="AK62" i="14"/>
  <c r="AG62" i="14"/>
  <c r="P12" i="14"/>
  <c r="P39" i="1" s="1"/>
  <c r="P13" i="14"/>
  <c r="AH10" i="14"/>
  <c r="Q11" i="14"/>
  <c r="M47" i="14"/>
  <c r="Q182" i="1" s="1"/>
  <c r="Q184" i="1" s="1"/>
  <c r="M48" i="14"/>
  <c r="AL62" i="14" l="1"/>
  <c r="M30" i="14"/>
  <c r="Q131" i="1" s="1"/>
  <c r="Q133" i="1" s="1"/>
  <c r="M31" i="14"/>
  <c r="AC31" i="14"/>
  <c r="AC30" i="14"/>
  <c r="Q46" i="14"/>
  <c r="R46" i="14" s="1"/>
  <c r="AM46" i="14" s="1"/>
  <c r="AF29" i="14"/>
  <c r="AG29" i="14" s="1"/>
  <c r="R128" i="1" l="1"/>
  <c r="R133" i="1" s="1"/>
  <c r="R55" i="1"/>
  <c r="R106" i="1"/>
  <c r="Q47" i="14"/>
  <c r="Q48" i="14"/>
  <c r="AF31" i="14"/>
  <c r="AF30" i="14"/>
  <c r="P93" i="1" s="1"/>
  <c r="AL29" i="14"/>
  <c r="AL31" i="14" s="1"/>
  <c r="AK46" i="14"/>
  <c r="AK48" i="14" s="1"/>
  <c r="P146" i="1" l="1"/>
  <c r="P142" i="1"/>
  <c r="Q29" i="14"/>
  <c r="R29" i="14" l="1"/>
  <c r="AM29" i="14" s="1"/>
  <c r="AK29" i="14"/>
  <c r="AK31" i="14" s="1"/>
  <c r="Q31" i="14"/>
  <c r="Q30" i="14"/>
  <c r="P95" i="1" l="1"/>
  <c r="P91" i="1"/>
  <c r="AI11" i="14" l="1"/>
  <c r="AI13" i="14" s="1"/>
  <c r="AE13" i="14" l="1"/>
  <c r="AE12" i="14" l="1"/>
  <c r="Z11" i="14"/>
  <c r="Z13" i="14" l="1"/>
  <c r="AC11" i="14"/>
  <c r="Z12" i="14"/>
  <c r="R77" i="1" s="1"/>
  <c r="R82" i="1" s="1"/>
  <c r="AJ11" i="14" l="1"/>
  <c r="AJ13" i="14" s="1"/>
  <c r="AC13" i="14"/>
  <c r="AD11" i="14"/>
  <c r="AH11" i="14" s="1"/>
  <c r="AC12" i="14"/>
  <c r="P43" i="1" l="1"/>
  <c r="P41" i="1"/>
  <c r="AI31" i="14"/>
  <c r="AI30" i="14" l="1"/>
  <c r="AF13" i="14" l="1"/>
  <c r="AF12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tc={EFC32024-0841-4435-9586-30076543A643}</author>
    <author>tc={1A029378-0655-480D-9C48-482B4F528D2F}</author>
    <author>tc={C88CFCB7-3866-4FC5-A447-3ECA7EB49BB8}</author>
  </authors>
  <commentList>
    <comment ref="J28" authorId="0" shapeId="0" xr:uid="{EFC32024-0841-4435-9586-30076543A643}">
      <text>
        <t>[Threaded comment]
Your version of Excel allows you to read this threaded comment; however, any edits to it will get removed if the file is opened in a newer version of Excel. Learn more: https://go.microsoft.com/fwlink/?linkid=870924
Comment:
    $300,000 - $337,000</t>
      </text>
    </comment>
    <comment ref="J39" authorId="1" shapeId="0" xr:uid="{1A029378-0655-480D-9C48-482B4F528D2F}">
      <text>
        <t>[Threaded comment]
Your version of Excel allows you to read this threaded comment; however, any edits to it will get removed if the file is opened in a newer version of Excel. Learn more: https://go.microsoft.com/fwlink/?linkid=870924
Comment:
    ~ $ 250 - 300 K</t>
      </text>
    </comment>
    <comment ref="J59" authorId="2" shapeId="0" xr:uid="{C88CFCB7-3866-4FC5-A447-3ECA7EB49BB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$463,000 - $550,000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tc={E2EAE801-E2A0-48D7-B334-FCBF55A11C09}</author>
    <author>tc={F9DC6AF8-F489-47B0-9B28-D438D2C41848}</author>
  </authors>
  <commentList>
    <comment ref="D2" authorId="0" shapeId="0" xr:uid="{E2EAE801-E2A0-48D7-B334-FCBF55A11C0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Motor fuel prices | Ontario.ca </t>
      </text>
    </comment>
    <comment ref="C3" authorId="1" shapeId="0" xr:uid="{F9DC6AF8-F489-47B0-9B28-D438D2C41848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https://vancouver.citynews.ca/2025/05/05/vancouver-gas-prices-25c-more-national-average/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tc={692656FA-0273-4BDC-A2EC-09441C87412D}</author>
  </authors>
  <commentList>
    <comment ref="C1" authorId="0" shapeId="0" xr:uid="{692656FA-0273-4BDC-A2EC-09441C87412D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chatGPT research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<sst xmlns="http://schemas.openxmlformats.org/spreadsheetml/2006/main" count="1402" uniqueCount="707">
  <si>
    <t>Cells Highlighted in Green are INPUT Cells</t>
  </si>
  <si>
    <t>1. Enter Duty Dycle Requirements</t>
  </si>
  <si>
    <t>2. Review EV Recommendations</t>
  </si>
  <si>
    <t>3.  Review ICE vehicles</t>
  </si>
  <si>
    <t>Duty cycle</t>
  </si>
  <si>
    <t>Make &amp; Model</t>
  </si>
  <si>
    <t>Type</t>
  </si>
  <si>
    <t>Price</t>
  </si>
  <si>
    <t>Battery Size</t>
  </si>
  <si>
    <t>price</t>
  </si>
  <si>
    <t>Payload (lbs)</t>
  </si>
  <si>
    <t>Fuel type</t>
  </si>
  <si>
    <t>Required daily distance (km)</t>
  </si>
  <si>
    <t>Maximum payload (lbs)</t>
  </si>
  <si>
    <t>Category</t>
  </si>
  <si>
    <t>Light Duty</t>
  </si>
  <si>
    <t>Refrigeration required?</t>
  </si>
  <si>
    <t>No</t>
  </si>
  <si>
    <t>4. Select vehicles &amp; charger to perform TCO with</t>
  </si>
  <si>
    <t>5. Operational inputs</t>
  </si>
  <si>
    <t>Default values</t>
  </si>
  <si>
    <t>6. Financing inputs</t>
  </si>
  <si>
    <t>Select EV:</t>
  </si>
  <si>
    <t xml:space="preserve">Chevrolet Silverado EV LT E4WD </t>
  </si>
  <si>
    <t>Province</t>
  </si>
  <si>
    <t>ON</t>
  </si>
  <si>
    <t>ICE vehicle down payment as % of MSRP</t>
  </si>
  <si>
    <t xml:space="preserve">Select charger: </t>
  </si>
  <si>
    <t xml:space="preserve">L2 7.2kW </t>
  </si>
  <si>
    <t>Annual vehicle KM's travelled</t>
  </si>
  <si>
    <t>ICE vehicle loan interest rate (APR)</t>
  </si>
  <si>
    <t>Select ICE vehicle:</t>
  </si>
  <si>
    <t xml:space="preserve">Ford F-150 </t>
  </si>
  <si>
    <t>How many EV vehicles can share one charger?</t>
  </si>
  <si>
    <t>ICE vehicle loan term (years)</t>
  </si>
  <si>
    <t>EV down payment as % of MSRP</t>
  </si>
  <si>
    <t>EV loan interest rate</t>
  </si>
  <si>
    <t>EV loan term (years)</t>
  </si>
  <si>
    <t>7. Optional manual overrides</t>
  </si>
  <si>
    <t>ICE</t>
  </si>
  <si>
    <t>Override</t>
  </si>
  <si>
    <t>EV</t>
  </si>
  <si>
    <t>Annual Maintenance costs</t>
  </si>
  <si>
    <t>Vehicle purchase price</t>
  </si>
  <si>
    <t>Add:</t>
  </si>
  <si>
    <t>Notes for shares charging hub</t>
  </si>
  <si>
    <t>Fuel/ energy costs ($/L ,  $/kWh)</t>
  </si>
  <si>
    <t>km's travelled</t>
  </si>
  <si>
    <t>% of charging that will be done by charging hub</t>
  </si>
  <si>
    <t>reduce energy cost and infrastructure by %</t>
  </si>
  <si>
    <t>Charger infrastructure cost</t>
  </si>
  <si>
    <t>$kWh</t>
  </si>
  <si>
    <t>Reduced charger to truck ratios. A lower number of chargers per unit of kWh. A benefit of economies of scale</t>
  </si>
  <si>
    <t>Additional Vehicle Rebate</t>
  </si>
  <si>
    <t>CFR price ranges</t>
  </si>
  <si>
    <t>Leasing scenario needs to be built</t>
  </si>
  <si>
    <t>Additional Charging Infrastructure Rebate</t>
  </si>
  <si>
    <t>Also need to acknowledge that depot infrastructure will</t>
  </si>
  <si>
    <t>Scenario 1: Purchase Upfront</t>
  </si>
  <si>
    <t>Average Cost  per KM - ICE</t>
  </si>
  <si>
    <t>Average Cost  per KM - EV</t>
  </si>
  <si>
    <t>Total Savings- 7 years</t>
  </si>
  <si>
    <t>Average daily km</t>
  </si>
  <si>
    <t>Average Annual km</t>
  </si>
  <si>
    <t>Vehicle cost (MSRP)</t>
  </si>
  <si>
    <t>Available funding for vehicle</t>
  </si>
  <si>
    <t>Annual Insurance</t>
  </si>
  <si>
    <t>Residual Value</t>
  </si>
  <si>
    <t>Vehicle Cost Year 1</t>
  </si>
  <si>
    <t>EV charger Cost</t>
  </si>
  <si>
    <t>Available funding for charging infrastructure</t>
  </si>
  <si>
    <t>EV charger annual maintenance (% of total costs)</t>
  </si>
  <si>
    <t>Charger Infrastructure Cost Year 1</t>
  </si>
  <si>
    <t>Energy cost ($/l) / ($/kWh):</t>
  </si>
  <si>
    <t>Consumption (l/km) / (kWh/km)</t>
  </si>
  <si>
    <t>Annual consumption (l) / (kWh):</t>
  </si>
  <si>
    <t>Energy Cost Year 1</t>
  </si>
  <si>
    <t>Maintenance &amp; Tires Cost ($/km)</t>
  </si>
  <si>
    <t>Maintenance &amp; Tires cost year 1</t>
  </si>
  <si>
    <t>Charger utilization (hrs/day)</t>
  </si>
  <si>
    <t>CFR credit value ($/ credit)</t>
  </si>
  <si>
    <t>LCFS &amp; plugin BC credits  (Only BC)</t>
  </si>
  <si>
    <t>LCFS/CFR Revenue Year 1</t>
  </si>
  <si>
    <t>Total Vehicle Cost</t>
  </si>
  <si>
    <t>Total Energy Cost</t>
  </si>
  <si>
    <t>Total charging Infrastructure Installation + maintenance Cost</t>
  </si>
  <si>
    <t>Total Vehicle Maintenance &amp; Tires Cost</t>
  </si>
  <si>
    <t>Total Credit Revenues</t>
  </si>
  <si>
    <t>Total Cost of Ownership</t>
  </si>
  <si>
    <t>Scenario 2: Finance Vehicles + Purchase chargers upfront</t>
  </si>
  <si>
    <t>Total Savings - 7 years</t>
  </si>
  <si>
    <t>Down Payment</t>
  </si>
  <si>
    <t>Monthly Payments</t>
  </si>
  <si>
    <t>Scenario 3: Finance Vehicles + Charging as a service</t>
  </si>
  <si>
    <t>Charging as a service annual payment</t>
  </si>
  <si>
    <t>Scenario 3: Lease Vehicles + Charging as a service</t>
  </si>
  <si>
    <t xml:space="preserve">Present value </t>
  </si>
  <si>
    <t>Value</t>
  </si>
  <si>
    <t>Unit</t>
  </si>
  <si>
    <t>Source</t>
  </si>
  <si>
    <t>Notes</t>
  </si>
  <si>
    <t>From input tab</t>
  </si>
  <si>
    <t>Discount rate</t>
  </si>
  <si>
    <t>%</t>
  </si>
  <si>
    <t>Input</t>
  </si>
  <si>
    <t>-</t>
  </si>
  <si>
    <t>calculated data</t>
  </si>
  <si>
    <t>Year</t>
  </si>
  <si>
    <t>ICE - Purchase cost</t>
  </si>
  <si>
    <t>ICE - Fuel cost</t>
  </si>
  <si>
    <t>ICE - Carbon tax</t>
  </si>
  <si>
    <t>ICE - Tires &amp; Maintenance cost</t>
  </si>
  <si>
    <t>ICE - salvage value</t>
  </si>
  <si>
    <t>ICE - vehicle insurance</t>
  </si>
  <si>
    <t>ICE - Total cost</t>
  </si>
  <si>
    <t>ICE - Cumulative Total Cost</t>
  </si>
  <si>
    <t>ICE- depreciation</t>
  </si>
  <si>
    <t xml:space="preserve">EV - Purchase cost </t>
  </si>
  <si>
    <t>EV - Vehicle + chargers Total rebate</t>
  </si>
  <si>
    <t>EV - CFR/LCFS</t>
  </si>
  <si>
    <t>EV - Charging cost</t>
  </si>
  <si>
    <t>EV - Tires &amp; Maintenance Cost</t>
  </si>
  <si>
    <t>EV - Charging infrastructure cost</t>
  </si>
  <si>
    <t>EV - Charger infrastructure maintenance</t>
  </si>
  <si>
    <t>EV - Salvage value</t>
  </si>
  <si>
    <t>EV - Charger Salvage value</t>
  </si>
  <si>
    <t>EV- vehicle insurance</t>
  </si>
  <si>
    <t>EV -Total cost</t>
  </si>
  <si>
    <t>EV - Cumulative Total Cost</t>
  </si>
  <si>
    <t>EV - depreciation</t>
  </si>
  <si>
    <t>Chargers - depreciation</t>
  </si>
  <si>
    <t>Discount Factor</t>
  </si>
  <si>
    <t>Cumulative Savings</t>
  </si>
  <si>
    <t>ICE -Total discounted cost</t>
  </si>
  <si>
    <t>EV - Total discounted cost</t>
  </si>
  <si>
    <t>Purchase prices</t>
  </si>
  <si>
    <t>Chosen ICE vehicle MSRP</t>
  </si>
  <si>
    <t>$ (CAD)</t>
  </si>
  <si>
    <t>ICE database</t>
  </si>
  <si>
    <t>Chosen EV MSRP</t>
  </si>
  <si>
    <t>$(CAD)</t>
  </si>
  <si>
    <t>EV database</t>
  </si>
  <si>
    <t>Fuel + electricity rates</t>
  </si>
  <si>
    <t>Diesel/ petrol cost ($/L)</t>
  </si>
  <si>
    <t>$/L</t>
  </si>
  <si>
    <t>Energy charge($/kWh)</t>
  </si>
  <si>
    <t>$/kWh</t>
  </si>
  <si>
    <t>General Service Business Rates</t>
  </si>
  <si>
    <t>" - Revisit this cost</t>
  </si>
  <si>
    <t>Diesel/ Petrol annual price escalation</t>
  </si>
  <si>
    <t>Up to 350 per cent higher at the pump by 2030: The impact of higher carbon taxes on gasoline prices - Canadian Energy Centre</t>
  </si>
  <si>
    <t>- Calculated the CAGR of 300% increase in 10 years</t>
  </si>
  <si>
    <t>Salvage year</t>
  </si>
  <si>
    <t>Energy annual price escalation</t>
  </si>
  <si>
    <t>BC Gov News</t>
  </si>
  <si>
    <t>Total Cost</t>
  </si>
  <si>
    <t>Maintenance costs</t>
  </si>
  <si>
    <t>Total PV cost</t>
  </si>
  <si>
    <t>ICE maintenance costs</t>
  </si>
  <si>
    <t>$/km</t>
  </si>
  <si>
    <t>internal estimate</t>
  </si>
  <si>
    <t>EV maintenance cost</t>
  </si>
  <si>
    <t>Maintenance costs escalation</t>
  </si>
  <si>
    <t>Internal estimate</t>
  </si>
  <si>
    <t>Charging infastructure maintenance costs</t>
  </si>
  <si>
    <t>Vehicle efficiency &amp; Duty cycle</t>
  </si>
  <si>
    <t>EV efficiency</t>
  </si>
  <si>
    <t>kWh/km</t>
  </si>
  <si>
    <t>Scenario 2: Finance vehicles + Purchase chargers upfront</t>
  </si>
  <si>
    <t>ICE efficiency (L/km)</t>
  </si>
  <si>
    <t>L/km</t>
  </si>
  <si>
    <t>ICE - Down payment</t>
  </si>
  <si>
    <t>ICE - Annualized monthly payments</t>
  </si>
  <si>
    <t>EV - Down Payment</t>
  </si>
  <si>
    <t>EV - Annualized monthly payments</t>
  </si>
  <si>
    <t>EV - Vehicle Rebate</t>
  </si>
  <si>
    <t>EV - Charging infrastructure Rebate</t>
  </si>
  <si>
    <t>Annual vehicle KM travelled</t>
  </si>
  <si>
    <t>km</t>
  </si>
  <si>
    <t>Average lifespan</t>
  </si>
  <si>
    <t>years</t>
  </si>
  <si>
    <t>Don't forget the little guys - Truck News</t>
  </si>
  <si>
    <t>operational days/ year</t>
  </si>
  <si>
    <t>days</t>
  </si>
  <si>
    <t>Depreciation rates</t>
  </si>
  <si>
    <t>ICE annual declining depreciation rate</t>
  </si>
  <si>
    <t>Estimation</t>
  </si>
  <si>
    <t>Low mileage used compared to other trucks, 260 operational days out of a year</t>
  </si>
  <si>
    <t>EV annual declining depreciation rate</t>
  </si>
  <si>
    <t>Low mileage, less strain on the battery than expected</t>
  </si>
  <si>
    <t>Class 43.1 CCA Chargers annual declining depreciation rate</t>
  </si>
  <si>
    <t>Capital Cost Allowance (CCA) and CCA Classes</t>
  </si>
  <si>
    <t>Class 43.2 CCA Chargers annual declining depreciation rate</t>
  </si>
  <si>
    <t>https://www.csagroup.org/standards/areas-of-focus/fuels-transportation/standards-for-battery-electric-vehicles-and-energy-management/</t>
  </si>
  <si>
    <t>Financing terms</t>
  </si>
  <si>
    <t>ICE vehicle loan interest rate</t>
  </si>
  <si>
    <t>Charging Infrastructure</t>
  </si>
  <si>
    <t>Charging station hardware+ installation cost</t>
  </si>
  <si>
    <t>$(CAD)/ charger</t>
  </si>
  <si>
    <t>Internal costing</t>
  </si>
  <si>
    <t>EV - Charging as a service</t>
  </si>
  <si>
    <t>EV - Charging Infrastructure Rebate</t>
  </si>
  <si>
    <t>EV - Vehicle Salvage value</t>
  </si>
  <si>
    <t>Charger cost assignment</t>
  </si>
  <si>
    <t>Decided value</t>
  </si>
  <si>
    <r>
      <t xml:space="preserve">" </t>
    </r>
    <r>
      <rPr>
        <sz val="9"/>
        <color theme="1"/>
        <rFont val="Poppins"/>
      </rPr>
      <t>one charger will serve X trucks"</t>
    </r>
  </si>
  <si>
    <t>Taxes &amp; Credits</t>
  </si>
  <si>
    <t>Carbon tax</t>
  </si>
  <si>
    <t>Carbon tax rates by fuel type - Province of British Columbia</t>
  </si>
  <si>
    <t>CFR credits annual value</t>
  </si>
  <si>
    <t>$</t>
  </si>
  <si>
    <t>Projection by trading partner</t>
  </si>
  <si>
    <t>CFR is expected to continue until 2030</t>
  </si>
  <si>
    <t>Last year for credit programs</t>
  </si>
  <si>
    <t>year</t>
  </si>
  <si>
    <t>LCFS credit annual value</t>
  </si>
  <si>
    <t>LCFS credit price</t>
  </si>
  <si>
    <t>light duty marginal kWh</t>
  </si>
  <si>
    <t>credit</t>
  </si>
  <si>
    <t>heavy duty marginal kWh</t>
  </si>
  <si>
    <t>Annual decline in LCFS price</t>
  </si>
  <si>
    <t>Total cost</t>
  </si>
  <si>
    <t>Annual decline in CFR price</t>
  </si>
  <si>
    <t>Rebates/ incentives</t>
  </si>
  <si>
    <t>EV rebate/incentive total value</t>
  </si>
  <si>
    <t>ICE rebate/incentive total value</t>
  </si>
  <si>
    <t>N/A</t>
  </si>
  <si>
    <t>Charger infrastructure total incentives</t>
  </si>
  <si>
    <t>Charger incentives database</t>
  </si>
  <si>
    <t>Scenario 4: Lease Vehicles + Charging as a service</t>
  </si>
  <si>
    <t xml:space="preserve">Annual insurance </t>
  </si>
  <si>
    <t>EV insurance as % of value</t>
  </si>
  <si>
    <t>ICE annual insurance as % of value</t>
  </si>
  <si>
    <t xml:space="preserve">Assumptions </t>
  </si>
  <si>
    <t>Energy Costs</t>
  </si>
  <si>
    <t>Commercial medium duty power consumers</t>
  </si>
  <si>
    <t xml:space="preserve">Prices per province </t>
  </si>
  <si>
    <t xml:space="preserve">CFR Credits </t>
  </si>
  <si>
    <t xml:space="preserve">Assumes 6 hour charger utilization 
</t>
  </si>
  <si>
    <t xml:space="preserve">L2 - charger Power 7.2kW </t>
  </si>
  <si>
    <t>L3 - low power DCFC 24kW</t>
  </si>
  <si>
    <t>L3 - high power DCFC - 150kw</t>
  </si>
  <si>
    <t xml:space="preserve">Assumes $100/credit  </t>
  </si>
  <si>
    <t>Assumed 365 days of operation</t>
  </si>
  <si>
    <t xml:space="preserve">LCFS </t>
  </si>
  <si>
    <t xml:space="preserve">Assumes 1:1 charger ratio
</t>
  </si>
  <si>
    <t xml:space="preserve">Calculated based on average driven distances in regional transportation   </t>
  </si>
  <si>
    <t xml:space="preserve">Assumes $190/credit  </t>
  </si>
  <si>
    <t xml:space="preserve">Fuel Efficiency </t>
  </si>
  <si>
    <t xml:space="preserve">Based on average efficiency between highway and city driving </t>
  </si>
  <si>
    <t xml:space="preserve">Manufacturer  </t>
  </si>
  <si>
    <t>Model</t>
  </si>
  <si>
    <t>Type/Use Case</t>
  </si>
  <si>
    <t xml:space="preserve">Model Year </t>
  </si>
  <si>
    <t>FHWA Class (2B - 8)</t>
  </si>
  <si>
    <t>GVWR, lbs. (Gross Vehicle Weight Rating)</t>
  </si>
  <si>
    <t>Max Payload, lbs.</t>
  </si>
  <si>
    <t>Cost, $MSRP
CAD</t>
  </si>
  <si>
    <t>Maintenance cost ($/km)</t>
  </si>
  <si>
    <t>Refrigerated Unit</t>
  </si>
  <si>
    <t>Battery Size, kWh</t>
  </si>
  <si>
    <t>Efficiency (kwh/km)</t>
  </si>
  <si>
    <t xml:space="preserve">Max Charge Rate, kw </t>
  </si>
  <si>
    <t>Battery Voltage (V)</t>
  </si>
  <si>
    <t>Range (km)</t>
  </si>
  <si>
    <t xml:space="preserve">Federal Rebates (iMHZEV) </t>
  </si>
  <si>
    <t>ON Vehicle Rebates</t>
  </si>
  <si>
    <t>BC Vehicle Rebates</t>
  </si>
  <si>
    <t>QC Vehicle Rebates</t>
  </si>
  <si>
    <t>AB Vehicle Rebates</t>
  </si>
  <si>
    <t>SC Vehicle Rebates</t>
  </si>
  <si>
    <t>NS Vehicle Rebates</t>
  </si>
  <si>
    <t>NB Vehicle Rebates</t>
  </si>
  <si>
    <t>MB Vehicle Rebates</t>
  </si>
  <si>
    <t>PEI Vehicle Rebates</t>
  </si>
  <si>
    <t>NL Vehicle Rebates</t>
  </si>
  <si>
    <t>YT Vehicle Rebates</t>
  </si>
  <si>
    <t>NU Vehicle Rebates</t>
  </si>
  <si>
    <t>NT Vehicle Rebates</t>
  </si>
  <si>
    <t>ON - Total rebate(s) value</t>
  </si>
  <si>
    <t>BC - Total rebate(s) value</t>
  </si>
  <si>
    <t>QC - Total rebate(s) value</t>
  </si>
  <si>
    <t>AB - Total rebate(s) value</t>
  </si>
  <si>
    <t>SC - Total rebate(s) value</t>
  </si>
  <si>
    <t>NS - Total rebate(s) value</t>
  </si>
  <si>
    <t>NB - Total rebate(s) value</t>
  </si>
  <si>
    <t>MB - Total rebate(s) value</t>
  </si>
  <si>
    <t>PEI - Total rebate(s) value</t>
  </si>
  <si>
    <t>NL - Total rebate(s) value</t>
  </si>
  <si>
    <t>YT - Total rebate(s) value</t>
  </si>
  <si>
    <t>NU - Total rebate(s) value</t>
  </si>
  <si>
    <t>NT - Total rebate(s) value</t>
  </si>
  <si>
    <t>Ram</t>
  </si>
  <si>
    <t xml:space="preserve">Electric 1500 Large Battery </t>
  </si>
  <si>
    <t>Pick-up truck</t>
  </si>
  <si>
    <t>2B</t>
  </si>
  <si>
    <t>7,800 </t>
  </si>
  <si>
    <t>229kwh</t>
  </si>
  <si>
    <t xml:space="preserve">GMC </t>
  </si>
  <si>
    <t>GMC Sierra EV Denali Edition 1</t>
  </si>
  <si>
    <t>1450 </t>
  </si>
  <si>
    <t>205kwh</t>
  </si>
  <si>
    <t>DC public fast-charging of 100 miles in approximately 10 minutes</t>
  </si>
  <si>
    <t>Chevrolet</t>
  </si>
  <si>
    <t>Silverado EV 3WT Max Range</t>
  </si>
  <si>
    <t>11.5 kW capable onboard charging module
120V: N/A
240V: 11.0 h
400V: 0.5 h
10 minutes at a public DC charging station can add 100 miles of range.</t>
  </si>
  <si>
    <t xml:space="preserve">Silverado EV LT E4WD </t>
  </si>
  <si>
    <t>170kwh</t>
  </si>
  <si>
    <t xml:space="preserve">Ford </t>
  </si>
  <si>
    <t>F 150 Lightning</t>
  </si>
  <si>
    <t xml:space="preserve">98 kWh </t>
  </si>
  <si>
    <t xml:space="preserve">15% to 80% with a 150+ kW DC fast charger takes about 36 minutes for the Standard Range and </t>
  </si>
  <si>
    <t>F 150 Lightning Flash and Lariat</t>
  </si>
  <si>
    <t>131 kWh</t>
  </si>
  <si>
    <t>150+ kW DC fast charger - 41 minutes for the Extended Range</t>
  </si>
  <si>
    <t>Mercedes-Benz</t>
  </si>
  <si>
    <t xml:space="preserve"> eSprinter (2500)</t>
  </si>
  <si>
    <t>Delivery van</t>
  </si>
  <si>
    <t>113 kWh</t>
  </si>
  <si>
    <t>DC Charge time is 10-80% battery
115 kW/ - 42 minutes (optimal)
50 kW/ - 93 minutes</t>
  </si>
  <si>
    <t>RAM</t>
  </si>
  <si>
    <t xml:space="preserve"> ProMaster Van</t>
  </si>
  <si>
    <t xml:space="preserve">Cargo van </t>
  </si>
  <si>
    <t>110kWh</t>
  </si>
  <si>
    <t>The ProMaster EV supports Level 3 DC fast-charging capacities of 50 kW, 85 kW, 125 kW, and 150 kW. Additionally, a Level 2 wall box providing 11 kW is also available3</t>
  </si>
  <si>
    <t>Rivian</t>
  </si>
  <si>
    <t>R1T Dual</t>
  </si>
  <si>
    <t>135 kWh</t>
  </si>
  <si>
    <t>Ford</t>
  </si>
  <si>
    <t>E-Transit</t>
  </si>
  <si>
    <t>Cargo, delivery, work van</t>
  </si>
  <si>
    <t>8670 - 11,000</t>
  </si>
  <si>
    <t xml:space="preserve"> 68 kWh</t>
  </si>
  <si>
    <t>15-80% DCFC (115 kW) 34 min
15-80% (50 kW) 65 min
0-100% 240V L2 (48A) 8 hours
0-100% 240V L2 (30A) ~12 hours</t>
  </si>
  <si>
    <t>GM (Brightdrop)</t>
  </si>
  <si>
    <t xml:space="preserve"> EV410</t>
  </si>
  <si>
    <t>Delivery Van</t>
  </si>
  <si>
    <t>173 kWh</t>
  </si>
  <si>
    <t xml:space="preserve">GM (Brightdrop) </t>
  </si>
  <si>
    <t xml:space="preserve"> EV600</t>
  </si>
  <si>
    <t>Canoo</t>
  </si>
  <si>
    <t>LDV 190</t>
  </si>
  <si>
    <t>~80 kWh</t>
  </si>
  <si>
    <t xml:space="preserve"> LDV 130</t>
  </si>
  <si>
    <t>Service Van</t>
  </si>
  <si>
    <t>80kwh</t>
  </si>
  <si>
    <t>EDV-500</t>
  </si>
  <si>
    <t>9,500 </t>
  </si>
  <si>
    <t>110kwh</t>
  </si>
  <si>
    <t>GreenPower</t>
  </si>
  <si>
    <t xml:space="preserve"> EV Star </t>
  </si>
  <si>
    <t>118 kwh</t>
  </si>
  <si>
    <t>Dual (AC/DC)
Level-2, J1772, 19.2 kW AC, ~8 hrs
DCFC, CCS-1, 60 kW, ~2 hrs Wireless DC (option), 60 kW, ~2 hrs</t>
  </si>
  <si>
    <r>
      <t>EV STAR REEFER</t>
    </r>
    <r>
      <rPr>
        <sz val="8"/>
        <color rgb="FF000000"/>
        <rFont val="Arial"/>
        <family val="2"/>
      </rPr>
      <t>X </t>
    </r>
  </si>
  <si>
    <t>Yes</t>
  </si>
  <si>
    <t>8 hours at level 2
2 hours at level 3</t>
  </si>
  <si>
    <t>EV Star Utility Truck</t>
  </si>
  <si>
    <t>Utility Truck</t>
  </si>
  <si>
    <t>DC fast charge at 60 kW in around two hours 
At Level 2, up to 19.2 kW AC, it can charge in around 8 hours.</t>
  </si>
  <si>
    <t>Mullen</t>
  </si>
  <si>
    <t>Three (USA model)</t>
  </si>
  <si>
    <t>Low cab forward</t>
  </si>
  <si>
    <t>89 kwh</t>
  </si>
  <si>
    <t>Karsan</t>
  </si>
  <si>
    <t>e-JEST</t>
  </si>
  <si>
    <t>Passanger van</t>
  </si>
  <si>
    <t>88 kWh</t>
  </si>
  <si>
    <t>AC Type 2: 22 kW - 4 hr
DC Combo 2: 80 kW - 65 min</t>
  </si>
  <si>
    <t>Vicnity</t>
  </si>
  <si>
    <t>VM 1200</t>
  </si>
  <si>
    <t>Chassis Cab</t>
  </si>
  <si>
    <t>Up to 150 kWh</t>
  </si>
  <si>
    <t>Motiv Power Systems</t>
  </si>
  <si>
    <t xml:space="preserve"> EPIC F-59</t>
  </si>
  <si>
    <t>Step Van</t>
  </si>
  <si>
    <t>127 kWh</t>
  </si>
  <si>
    <t>6.5 hours at 80 amps, 19.2 kW</t>
  </si>
  <si>
    <t>127 kwh</t>
  </si>
  <si>
    <t>EPIC 4/E-450</t>
  </si>
  <si>
    <t>Box Truck / Work Truck</t>
  </si>
  <si>
    <t>Micro Bird Commercial</t>
  </si>
  <si>
    <t>G5 Electric</t>
  </si>
  <si>
    <t>Shuttle Bus</t>
  </si>
  <si>
    <t>Level 2: 13.2 kW   / Level 3: 50kW</t>
  </si>
  <si>
    <t>GreenPower Motor Company</t>
  </si>
  <si>
    <t xml:space="preserve"> EV Star CC </t>
  </si>
  <si>
    <t>Box truck</t>
  </si>
  <si>
    <t>118 kWh</t>
  </si>
  <si>
    <t>Dual (AC/DC)
Level-2, J1772, 19.2 kW AC, ~8 hrs
DCFC, CCS-1, 60 kW, ~2 hrs
Wireless DC (option), 60 kW, ~2 hrs</t>
  </si>
  <si>
    <t xml:space="preserve">BYD </t>
  </si>
  <si>
    <t xml:space="preserve">6F </t>
  </si>
  <si>
    <t>Truck</t>
  </si>
  <si>
    <t>(19,501-26,000)</t>
  </si>
  <si>
    <t>281 kWh
343 kWh</t>
  </si>
  <si>
    <t xml:space="preserve">DC charging: 150 kW </t>
  </si>
  <si>
    <t>XOS</t>
  </si>
  <si>
    <t>SV 20'</t>
  </si>
  <si>
    <t>19,500 - 23,000</t>
  </si>
  <si>
    <t>280 kWh</t>
  </si>
  <si>
    <t>• 0 - 80% Charge-time**
• DC: 65 Minutes
• L2: 5.5 Hours</t>
  </si>
  <si>
    <t>EVT Motors</t>
  </si>
  <si>
    <t xml:space="preserve"> High Roof Logistics Van</t>
  </si>
  <si>
    <t>Van</t>
  </si>
  <si>
    <t>106.2 kWh</t>
  </si>
  <si>
    <t>Freightliner</t>
  </si>
  <si>
    <t>MT50e</t>
  </si>
  <si>
    <t>Step Van Urban delivery</t>
  </si>
  <si>
    <t>16,000 - 22,000</t>
  </si>
  <si>
    <t>246 kWh</t>
  </si>
  <si>
    <t>Freightliner MT50e</t>
  </si>
  <si>
    <t>Lion</t>
  </si>
  <si>
    <t xml:space="preserve">Lion6 </t>
  </si>
  <si>
    <t>Commercial trucks</t>
  </si>
  <si>
    <t>252 kWh</t>
  </si>
  <si>
    <t>Lion5</t>
  </si>
  <si>
    <t>19,500. – 22,500</t>
  </si>
  <si>
    <t>210 kWh</t>
  </si>
  <si>
    <t>International</t>
  </si>
  <si>
    <t xml:space="preserve">Navistar eMV </t>
  </si>
  <si>
    <t>11,792kg (25,999)
14,968kg (33,000)</t>
  </si>
  <si>
    <t> $354,500</t>
  </si>
  <si>
    <t>125KW/hour capable with a DC charger 
Vehicle to Grid (V2G) capability standard equipment (DC charger required)
SAE J1772 CCS1 AC/DC charging standard</t>
  </si>
  <si>
    <t>Daimler eActros 600</t>
  </si>
  <si>
    <t>Semi trailer tractor</t>
  </si>
  <si>
    <t>GCW ~ 44,000</t>
  </si>
  <si>
    <t>621 kWh</t>
  </si>
  <si>
    <t>max 160 kW DC
20% to 80% in around 30 minutes</t>
  </si>
  <si>
    <t>Lightning eMotors</t>
  </si>
  <si>
    <t xml:space="preserve"> 6500XD Cab  </t>
  </si>
  <si>
    <t>Forward Truck</t>
  </si>
  <si>
    <t xml:space="preserve">11,770 kg (25,950) </t>
  </si>
  <si>
    <t>150 kWh - 160 kWh</t>
  </si>
  <si>
    <t>DC Fast Charge (up to 80 kW) with J1772 CCS1 Combo</t>
  </si>
  <si>
    <t>Kenworth</t>
  </si>
  <si>
    <t>K270E</t>
  </si>
  <si>
    <t>11,800kg (26,014)</t>
  </si>
  <si>
    <t>282 kWh</t>
  </si>
  <si>
    <t>Step Vans -SL</t>
  </si>
  <si>
    <t>Step van</t>
  </si>
  <si>
    <t>237 kWh</t>
  </si>
  <si>
    <t>Argo</t>
  </si>
  <si>
    <t>Urban Delivery, Specialty Vehicle</t>
  </si>
  <si>
    <t>158 kwh</t>
  </si>
  <si>
    <t>5.3 hours at 80 amps, 19.2 kW
1.5 hours at 200 amps, CCS1
DCFC</t>
  </si>
  <si>
    <t>Bollinger</t>
  </si>
  <si>
    <t>B4</t>
  </si>
  <si>
    <t>AC LVL 2 CHARGE TIME 0-100%
9 HRS @ 19.2 kw
DC FAST CHARGE TIME 0-100%
2 HRS @ 110 kw</t>
  </si>
  <si>
    <t>Peterbilt</t>
  </si>
  <si>
    <t xml:space="preserve"> 220 EV</t>
  </si>
  <si>
    <t>~ 25,999</t>
  </si>
  <si>
    <t>141 - 282 kWh</t>
  </si>
  <si>
    <t>Pheonix EV</t>
  </si>
  <si>
    <t>ZEUS 500</t>
  </si>
  <si>
    <t xml:space="preserve">Flatbed Truck </t>
  </si>
  <si>
    <t>156 kWh</t>
  </si>
  <si>
    <t>13 kW AC J1772 on-board charging system
50 kW CHAdeMO</t>
  </si>
  <si>
    <t xml:space="preserve">Daimler </t>
  </si>
  <si>
    <t>Rizon</t>
  </si>
  <si>
    <t>Box Truck</t>
  </si>
  <si>
    <t>15,995  - 18,000</t>
  </si>
  <si>
    <t>116 kwh</t>
  </si>
  <si>
    <t>DC Charge upto 104 kW</t>
  </si>
  <si>
    <t xml:space="preserve"> eCascadia </t>
  </si>
  <si>
    <t>Flatbed Truck</t>
  </si>
  <si>
    <t>GCW ~ 82,000</t>
  </si>
  <si>
    <t xml:space="preserve"> 438 kWh</t>
  </si>
  <si>
    <t>CHARGING: CCS1 @ 400A (0-80%)  ~150 min</t>
  </si>
  <si>
    <t>eM2</t>
  </si>
  <si>
    <t>up to 33,000</t>
  </si>
  <si>
    <t xml:space="preserve"> 291 kWh</t>
  </si>
  <si>
    <t>upto 180 kW; CCS1 @400 A (0-80%) ~ 90 mins</t>
  </si>
  <si>
    <t>Mack</t>
  </si>
  <si>
    <t xml:space="preserve">MD Electric </t>
  </si>
  <si>
    <t>upto 33,000</t>
  </si>
  <si>
    <t>240 kwh</t>
  </si>
  <si>
    <t>LR Electric</t>
  </si>
  <si>
    <t>Refuse Truck</t>
  </si>
  <si>
    <t>376 kwh</t>
  </si>
  <si>
    <t>Up to 150 kW charge power with a max current of 200A,
compliant with SAE J1772 (CCS1 DC)</t>
  </si>
  <si>
    <t>520EV</t>
  </si>
  <si>
    <t>396 kWh</t>
  </si>
  <si>
    <t>3.2 hours at 150 kW</t>
  </si>
  <si>
    <t>Battle Motors</t>
  </si>
  <si>
    <t>LET2 Refuse Automated Side Loader (ASL)</t>
  </si>
  <si>
    <t>400 kWh</t>
  </si>
  <si>
    <t>220V 80A AC Charger: 21 hrs
150kW DC Fast Charger: &lt;3 hrs</t>
  </si>
  <si>
    <t>700 VDC</t>
  </si>
  <si>
    <t>OrangeEV</t>
  </si>
  <si>
    <t>e-TRIEVER New 6x2
Extended Duty</t>
  </si>
  <si>
    <t xml:space="preserve">Shunt Truck </t>
  </si>
  <si>
    <t>180 kWh</t>
  </si>
  <si>
    <t xml:space="preserve"> Up to 70 kW</t>
  </si>
  <si>
    <t>HUSK-e Rail</t>
  </si>
  <si>
    <t>243 kWh</t>
  </si>
  <si>
    <t xml:space="preserve"> 2 hours with a 105kW rate of charge</t>
  </si>
  <si>
    <t>Electric City Tractor</t>
  </si>
  <si>
    <t>240 kWh</t>
  </si>
  <si>
    <t>220V 80A AC Charger: 10-12 hrs
150kW DC Fast Charger: &lt;3 hrs</t>
  </si>
  <si>
    <t>MAFI</t>
  </si>
  <si>
    <t>T230-E - 2023</t>
  </si>
  <si>
    <t>Terminal Tractor</t>
  </si>
  <si>
    <t>GCW ~ 198,416</t>
  </si>
  <si>
    <t>256 kWh</t>
  </si>
  <si>
    <t>CCS 2.0 DC charger</t>
  </si>
  <si>
    <t xml:space="preserve">Volvo </t>
  </si>
  <si>
    <t>VNRE64300</t>
  </si>
  <si>
    <t>376 kWh</t>
  </si>
  <si>
    <t>4 Batteries: 60 min (80% charging at 250KW)
6 Batteries: 90 min (80% charging at 250KW)</t>
  </si>
  <si>
    <t>VNRE64T300 (564)</t>
  </si>
  <si>
    <t>564 kWh</t>
  </si>
  <si>
    <t xml:space="preserve">	Kenworth</t>
  </si>
  <si>
    <t>K370E</t>
  </si>
  <si>
    <t>ARBOC</t>
  </si>
  <si>
    <t>Equess CHARGE 30' - 35'</t>
  </si>
  <si>
    <t>350 - 437 kWh</t>
  </si>
  <si>
    <t xml:space="preserve"> 8TT </t>
  </si>
  <si>
    <t>Tractor</t>
  </si>
  <si>
    <t>GCW ~ 105,000</t>
  </si>
  <si>
    <t>422 - 563 kWh</t>
  </si>
  <si>
    <t>8Y</t>
  </si>
  <si>
    <t>Terminal Truck</t>
  </si>
  <si>
    <t>GCW ~ 102,000</t>
  </si>
  <si>
    <t>216 kWh</t>
  </si>
  <si>
    <t>8P</t>
  </si>
  <si>
    <t>custom chassis</t>
  </si>
  <si>
    <t>upto 60,000</t>
  </si>
  <si>
    <t>upto 336 kwh</t>
  </si>
  <si>
    <t>8T</t>
  </si>
  <si>
    <t>Custom chassis</t>
  </si>
  <si>
    <t>upto 82,000</t>
  </si>
  <si>
    <t>upto 653 kwh</t>
  </si>
  <si>
    <t xml:space="preserve"> 579EV</t>
  </si>
  <si>
    <t>Flatbed</t>
  </si>
  <si>
    <t>37,194kg</t>
  </si>
  <si>
    <t xml:space="preserve">396kWh </t>
  </si>
  <si>
    <t>520 EV</t>
  </si>
  <si>
    <t>International trucks</t>
  </si>
  <si>
    <t>eMV</t>
  </si>
  <si>
    <t>T680E</t>
  </si>
  <si>
    <t xml:space="preserve">36,000 kg </t>
  </si>
  <si>
    <t>DC Fast Charging
SAE J1772 CCS1
Max Rate: 120 kWh</t>
  </si>
  <si>
    <t>Autocar</t>
  </si>
  <si>
    <t>E-ACTT - 2025</t>
  </si>
  <si>
    <t>GCW ~ 80,000</t>
  </si>
  <si>
    <t>Charging Type CCS Type 1, Off-Board Charger
Charging (Nominal)* DC 30kW Overnight
Charging (Fast)* DC 150kW 2hrs to 90%
Opportunity Charging DC 150kW 35min to charge 10-50% SOC</t>
  </si>
  <si>
    <t>Terberg</t>
  </si>
  <si>
    <t>YT203 (4 x 2)</t>
  </si>
  <si>
    <t>GCW ~ 65,000 -105,000</t>
  </si>
  <si>
    <t>~ 222 kWh</t>
  </si>
  <si>
    <t>Charger capacity:..............24-150 kW*
Charger type: ...................... CCS2.0</t>
  </si>
  <si>
    <t>Nikola</t>
  </si>
  <si>
    <t>TRE Battery Electric Truck</t>
  </si>
  <si>
    <t>753 kWh</t>
  </si>
  <si>
    <t>Green Power Motors</t>
  </si>
  <si>
    <t>EV350</t>
  </si>
  <si>
    <t>CCS-1, 148KW DCFC
WIRELESS, 148 KW DCFC</t>
  </si>
  <si>
    <t>e16M</t>
  </si>
  <si>
    <t>Multi use truck</t>
  </si>
  <si>
    <t>Level 2 AC charger 19.2 kW 6 hours to 100%
Level 3 DC charger 1 04 kW 1 hour to 100%</t>
  </si>
  <si>
    <t>e16L</t>
  </si>
  <si>
    <t>e18M</t>
  </si>
  <si>
    <t>e18L</t>
  </si>
  <si>
    <t>Mach-e Premium Standard range RWD</t>
  </si>
  <si>
    <t>Long Distance EV's</t>
  </si>
  <si>
    <t>73 kWh</t>
  </si>
  <si>
    <t>Tesla</t>
  </si>
  <si>
    <t>Model Y Extended Range AWD</t>
  </si>
  <si>
    <t>78 kWh</t>
  </si>
  <si>
    <t>Equinox EX LT</t>
  </si>
  <si>
    <t>85 kWh</t>
  </si>
  <si>
    <t>New Flyer</t>
  </si>
  <si>
    <t>XE40</t>
  </si>
  <si>
    <t>Transit BEB</t>
  </si>
  <si>
    <t>550 kWh</t>
  </si>
  <si>
    <t>BC transit NOVA</t>
  </si>
  <si>
    <t>Cost of electricity ($/kWh)</t>
  </si>
  <si>
    <t>Gasoline cost ($/L)</t>
  </si>
  <si>
    <t>Diesel cost ($/L)</t>
  </si>
  <si>
    <t>BC</t>
  </si>
  <si>
    <t>QC</t>
  </si>
  <si>
    <t>AB</t>
  </si>
  <si>
    <t>SC</t>
  </si>
  <si>
    <t>NS</t>
  </si>
  <si>
    <t>NB</t>
  </si>
  <si>
    <t>MB</t>
  </si>
  <si>
    <t>PEI</t>
  </si>
  <si>
    <t>NL</t>
  </si>
  <si>
    <t>YT</t>
  </si>
  <si>
    <t>NU</t>
  </si>
  <si>
    <t>NT</t>
  </si>
  <si>
    <t>From Hydro Quebec 2023 Report</t>
  </si>
  <si>
    <t>From Statscan^</t>
  </si>
  <si>
    <t>Monthly average retail prices for gasoline and fuel oil, by geography</t>
  </si>
  <si>
    <t>Comparison of Electricity Prices in Major North American Cities 2023</t>
  </si>
  <si>
    <t>Medium Power Customers</t>
  </si>
  <si>
    <t>Make + Model</t>
  </si>
  <si>
    <t>Model Year</t>
  </si>
  <si>
    <t>Type/ Use Case</t>
  </si>
  <si>
    <t>Purchase price ($ CAD)</t>
  </si>
  <si>
    <t>Efficiency (L/KM)</t>
  </si>
  <si>
    <t xml:space="preserve">EV Equivalent </t>
  </si>
  <si>
    <t>Ford Transit</t>
  </si>
  <si>
    <t xml:space="preserve">Delivery Van, Work Van </t>
  </si>
  <si>
    <t>Diesel</t>
  </si>
  <si>
    <t xml:space="preserve">Ford E-Transit </t>
  </si>
  <si>
    <t>Ford Transit High Roof Refrigerated</t>
  </si>
  <si>
    <t>Refrigerated Van</t>
  </si>
  <si>
    <t>Gasoline</t>
  </si>
  <si>
    <t xml:space="preserve">Mercedes Sprinter Cargo Van Low Roof </t>
  </si>
  <si>
    <t>Mercedes-Benz eSprinter</t>
  </si>
  <si>
    <t xml:space="preserve">Mercedes Sprinter Cargo Van High Roof </t>
  </si>
  <si>
    <t>Ford F-550 Chassis Cab XLT - Gasoline</t>
  </si>
  <si>
    <t>Heavy towing/ hauling</t>
  </si>
  <si>
    <t>Pick-up/towing</t>
  </si>
  <si>
    <t xml:space="preserve"> Ford F-150 XL</t>
  </si>
  <si>
    <t xml:space="preserve">Chevy Silverado 1500 WT </t>
  </si>
  <si>
    <t>Chevrolet Express 2500 Cargo Van</t>
  </si>
  <si>
    <t xml:space="preserve">Contracting </t>
  </si>
  <si>
    <t>BrightDrop Zevo 400</t>
  </si>
  <si>
    <t>Ford 450 MD Truck</t>
  </si>
  <si>
    <t>6210 </t>
  </si>
  <si>
    <t xml:space="preserve">Pick up truck </t>
  </si>
  <si>
    <t>Ram ProMaster Van</t>
  </si>
  <si>
    <t>Actros 1845 LS diesel</t>
  </si>
  <si>
    <t>Ford E-450 Cutaway Van Chassis</t>
  </si>
  <si>
    <t xml:space="preserve">Work, Utility Truck </t>
  </si>
  <si>
    <t>International MV Series</t>
  </si>
  <si>
    <t xml:space="preserve">Delivery Truck </t>
  </si>
  <si>
    <t>Workhorse W62</t>
  </si>
  <si>
    <t>Step Van Delivery van</t>
  </si>
  <si>
    <t>Freightliner MT-55 Step Van</t>
  </si>
  <si>
    <t>Isuzu NPR</t>
  </si>
  <si>
    <t xml:space="preserve">Delivery, Construction </t>
  </si>
  <si>
    <t>Mack LR</t>
  </si>
  <si>
    <t>Peterbilt 520</t>
  </si>
  <si>
    <t>Battle Motors LET2 Refuse ASL</t>
  </si>
  <si>
    <t>Isuzu NRR Flatbed</t>
  </si>
  <si>
    <t>multi-use flatbed</t>
  </si>
  <si>
    <t>Isuzu NRR 20' Box truck with liftgate &amp; ramp</t>
  </si>
  <si>
    <t>Isuzu NRR 20' Box truck with liftgate</t>
  </si>
  <si>
    <t>Isuzu NRR moving truck (24' body)</t>
  </si>
  <si>
    <t>Freightliner M2 106 – air brakes, 33,000 lb</t>
  </si>
  <si>
    <t xml:space="preserve">2025 Freightliner M2 106 24,000 lb </t>
  </si>
  <si>
    <t>medium-duty truck </t>
  </si>
  <si>
    <t>Ford Escape</t>
  </si>
  <si>
    <t>Passenger car</t>
  </si>
  <si>
    <t>Ford Mach-e</t>
  </si>
  <si>
    <t>Toyota Rav4</t>
  </si>
  <si>
    <t>New Flyer XD40</t>
  </si>
  <si>
    <t>Passenger bus</t>
  </si>
  <si>
    <t>New Flyer XE40</t>
  </si>
  <si>
    <t>BC transit NFI hybrid diesel bus placeholder</t>
  </si>
  <si>
    <t>TICO Pro-Spotter Diesel</t>
  </si>
  <si>
    <t>Shunt truck / Terminal tractor</t>
  </si>
  <si>
    <t>Terberg YT193</t>
  </si>
  <si>
    <t xml:space="preserve">Diesel </t>
  </si>
  <si>
    <t>Volvo VNR Diesel</t>
  </si>
  <si>
    <t xml:space="preserve">Tractor </t>
  </si>
  <si>
    <t>Charger type</t>
  </si>
  <si>
    <t>Charger name</t>
  </si>
  <si>
    <t>Purchase + installation cost$ CAD</t>
  </si>
  <si>
    <t>Max charge rate (kW)</t>
  </si>
  <si>
    <t>Generic</t>
  </si>
  <si>
    <t>L3- low power 50kW</t>
  </si>
  <si>
    <t>L3- low power 24kW</t>
  </si>
  <si>
    <t>L3- high power 100kW</t>
  </si>
  <si>
    <t>L3- high power 150kW</t>
  </si>
  <si>
    <t>high power L3</t>
  </si>
  <si>
    <t>Vehicle type</t>
  </si>
  <si>
    <t>Marginal CFR $ value per kWh dispensed</t>
  </si>
  <si>
    <t>Light + medium duty</t>
  </si>
  <si>
    <t>Heavy duty</t>
  </si>
  <si>
    <t>*Assumes $100 credit value</t>
  </si>
  <si>
    <t>Vehicle Type</t>
  </si>
  <si>
    <t>Tire CostCA$/km</t>
  </si>
  <si>
    <t>Service Cost CA$/km</t>
  </si>
  <si>
    <t>Total Cost CA$/km</t>
  </si>
  <si>
    <r>
      <rPr>
        <b/>
        <sz val="8"/>
        <color theme="1"/>
        <rFont val="Poppins"/>
      </rPr>
      <t>Light</t>
    </r>
    <r>
      <rPr>
        <sz val="8"/>
        <color theme="1"/>
        <rFont val="Poppins"/>
      </rPr>
      <t xml:space="preserve">-Duty </t>
    </r>
    <r>
      <rPr>
        <sz val="8"/>
        <color rgb="FFFF0000"/>
        <rFont val="Poppins"/>
      </rPr>
      <t>ICE</t>
    </r>
    <r>
      <rPr>
        <sz val="8"/>
        <color theme="1"/>
        <rFont val="Poppins"/>
      </rPr>
      <t xml:space="preserve"> </t>
    </r>
  </si>
  <si>
    <t>Betterfleet data</t>
  </si>
  <si>
    <r>
      <t xml:space="preserve">Light-Duty </t>
    </r>
    <r>
      <rPr>
        <sz val="8"/>
        <color rgb="FF92D050"/>
        <rFont val="Poppins"/>
      </rPr>
      <t>EVs</t>
    </r>
  </si>
  <si>
    <r>
      <rPr>
        <b/>
        <sz val="8"/>
        <color theme="1"/>
        <rFont val="Poppins"/>
      </rPr>
      <t>Heavy</t>
    </r>
    <r>
      <rPr>
        <sz val="8"/>
        <color theme="1"/>
        <rFont val="Poppins"/>
      </rPr>
      <t xml:space="preserve">-Duty </t>
    </r>
    <r>
      <rPr>
        <sz val="8"/>
        <color rgb="FFFF0000"/>
        <rFont val="Poppins"/>
      </rPr>
      <t>ICE</t>
    </r>
    <r>
      <rPr>
        <sz val="8"/>
        <color theme="1"/>
        <rFont val="Poppins"/>
      </rPr>
      <t xml:space="preserve"> </t>
    </r>
  </si>
  <si>
    <r>
      <t xml:space="preserve">Heavy-Duty </t>
    </r>
    <r>
      <rPr>
        <sz val="8"/>
        <color rgb="FF92D050"/>
        <rFont val="Poppins"/>
      </rPr>
      <t>EVs</t>
    </r>
  </si>
  <si>
    <r>
      <rPr>
        <b/>
        <sz val="8"/>
        <color theme="1"/>
        <rFont val="Poppins"/>
      </rPr>
      <t>Medium</t>
    </r>
    <r>
      <rPr>
        <sz val="8"/>
        <color theme="1"/>
        <rFont val="Poppins"/>
      </rPr>
      <t xml:space="preserve">-Duty </t>
    </r>
    <r>
      <rPr>
        <sz val="8"/>
        <color rgb="FFFF0000"/>
        <rFont val="Poppins"/>
      </rPr>
      <t>ICE</t>
    </r>
    <r>
      <rPr>
        <sz val="8"/>
        <color theme="1"/>
        <rFont val="Poppins"/>
      </rPr>
      <t xml:space="preserve"> </t>
    </r>
  </si>
  <si>
    <r>
      <t xml:space="preserve">Medium-Duty </t>
    </r>
    <r>
      <rPr>
        <sz val="8"/>
        <color rgb="FF92D050"/>
        <rFont val="Poppins"/>
      </rPr>
      <t>EVs</t>
    </r>
  </si>
  <si>
    <t>Link to source</t>
  </si>
  <si>
    <t>Class</t>
  </si>
  <si>
    <t>Clean BC vehicle rebate amount</t>
  </si>
  <si>
    <t>4,5</t>
  </si>
  <si>
    <t>6,7</t>
  </si>
  <si>
    <t xml:space="preserve">iMHZEV </t>
  </si>
  <si>
    <t>Specific</t>
  </si>
  <si>
    <t>Gross Vehicle Weight Rating (lb)</t>
  </si>
  <si>
    <t>Maximum Incentive Amount</t>
  </si>
  <si>
    <t>Coach bus or fuel cell vehicle</t>
  </si>
  <si>
    <t>26,001+</t>
  </si>
  <si>
    <t>Over 350 kWh</t>
  </si>
  <si>
    <t>33,000+</t>
  </si>
  <si>
    <t>Under 350 kWh</t>
  </si>
  <si>
    <t>26,001 – 33,000</t>
  </si>
  <si>
    <t>19,501– 26,000</t>
  </si>
  <si>
    <t>16,001 – 19,500</t>
  </si>
  <si>
    <t>14,001 – 16,000</t>
  </si>
  <si>
    <t>10,001– 14,000</t>
  </si>
  <si>
    <t>8,501 – 10,000</t>
  </si>
  <si>
    <t>Plugin BC</t>
  </si>
  <si>
    <t xml:space="preserve">L3- high power 150kW </t>
  </si>
  <si>
    <t>L3- high power 150 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</si>
</sst>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;[Red]\-&quot;$&quot;#,##0"/>
    <numFmt numFmtId="165" formatCode="&quot;$&quot;#,##0.00;[Red]\-&quot;$&quot;#,##0.00"/>
    <numFmt numFmtId="166" formatCode="_-&quot;$&quot;* #,##0.00_-;\-&quot;$&quot;* #,##0.00_-;_-&quot;$&quot;* &quot;-&quot;??_-;_-@_-"/>
    <numFmt numFmtId="167" formatCode="_-* #,##0.00_-;\-* #,##0.00_-;_-* &quot;-&quot;??_-;_-@_-"/>
    <numFmt numFmtId="168" formatCode="&quot;$&quot;#,##0.00"/>
  </numFmts>
  <fonts count="6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Century Gothic"/>
      <family val="2"/>
    </font>
    <font>
      <sz val="8"/>
      <color theme="1"/>
      <name val="Century Gothic"/>
      <family val="2"/>
    </font>
    <font>
      <sz val="11"/>
      <color indexed="8"/>
      <name val="Aptos Narrow"/>
      <family val="2"/>
      <scheme val="minor"/>
    </font>
    <font>
      <b/>
      <sz val="8"/>
      <color theme="1"/>
      <name val="Poppins"/>
    </font>
    <font>
      <sz val="8"/>
      <color theme="1"/>
      <name val="Poppins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Poppins"/>
    </font>
    <font>
      <sz val="9"/>
      <color theme="1"/>
      <name val="Poppins"/>
    </font>
    <font>
      <b/>
      <sz val="9"/>
      <color theme="1"/>
      <name val="Poppins"/>
    </font>
    <font>
      <b/>
      <u/>
      <sz val="9"/>
      <color theme="1"/>
      <name val="Poppins"/>
    </font>
    <font>
      <b/>
      <sz val="8"/>
      <color theme="0"/>
      <name val="Poppins"/>
    </font>
    <font>
      <b/>
      <u/>
      <sz val="8"/>
      <color theme="1"/>
      <name val="Poppins"/>
    </font>
    <font>
      <sz val="8"/>
      <name val="Poppins"/>
    </font>
    <font>
      <sz val="8"/>
      <color rgb="FFFF0000"/>
      <name val="Poppins"/>
    </font>
    <font>
      <sz val="8"/>
      <color rgb="FF92D050"/>
      <name val="Poppins"/>
    </font>
    <font>
      <sz val="9"/>
      <color theme="1"/>
      <name val="Aptos Narrow"/>
      <family val="2"/>
      <scheme val="minor"/>
    </font>
    <font>
      <b/>
      <sz val="9"/>
      <color theme="0"/>
      <name val="Poppins"/>
    </font>
    <font>
      <b/>
      <sz val="8"/>
      <color theme="1"/>
      <name val="Aptos Narrow"/>
      <family val="2"/>
      <scheme val="minor"/>
    </font>
    <font>
      <b/>
      <sz val="11"/>
      <color theme="1"/>
      <name val="Poppins"/>
    </font>
    <font>
      <sz val="10"/>
      <color theme="1"/>
      <name val="Poppins"/>
    </font>
    <font>
      <sz val="8"/>
      <color rgb="FF000000"/>
      <name val="Arial"/>
      <family val="2"/>
    </font>
    <font>
      <b/>
      <sz val="10"/>
      <color rgb="FF333333"/>
      <name val="Arial"/>
      <family val="2"/>
    </font>
    <font>
      <sz val="10"/>
      <color rgb="FF333333"/>
      <name val="Arial"/>
      <family val="2"/>
    </font>
    <font>
      <sz val="11"/>
      <color theme="0"/>
      <name val="Aptos Narrow"/>
      <family val="2"/>
      <scheme val="minor"/>
    </font>
    <font>
      <sz val="9"/>
      <color theme="0"/>
      <name val="Poppins"/>
    </font>
    <font>
      <b/>
      <sz val="10"/>
      <color theme="1"/>
      <name val="Poppins"/>
    </font>
    <font>
      <b/>
      <sz val="12"/>
      <color theme="0"/>
      <name val="Poppins"/>
    </font>
    <font>
      <sz val="12"/>
      <color theme="1"/>
      <name val="Poppins"/>
    </font>
    <font>
      <b/>
      <sz val="12"/>
      <color theme="1"/>
      <name val="Poppins"/>
    </font>
    <font>
      <b/>
      <u/>
      <sz val="12"/>
      <color theme="1"/>
      <name val="Poppins"/>
    </font>
    <font>
      <sz val="12"/>
      <name val="Poppins"/>
    </font>
    <font>
      <b/>
      <sz val="14"/>
      <name val="Poppins"/>
    </font>
    <font>
      <sz val="14"/>
      <color theme="1"/>
      <name val="Poppins"/>
    </font>
    <font>
      <b/>
      <sz val="14"/>
      <color theme="0"/>
      <name val="Poppins"/>
    </font>
    <font>
      <b/>
      <sz val="14"/>
      <color theme="1"/>
      <name val="Poppins"/>
    </font>
    <font>
      <b/>
      <sz val="26"/>
      <color theme="0"/>
      <name val="Poppins"/>
    </font>
    <font>
      <sz val="14"/>
      <name val="Poppins"/>
    </font>
    <font>
      <sz val="14"/>
      <color theme="0"/>
      <name val="Aptos Narrow"/>
      <family val="2"/>
      <scheme val="minor"/>
    </font>
    <font>
      <sz val="14"/>
      <color theme="0"/>
      <name val="Poppins"/>
    </font>
    <font>
      <sz val="14"/>
      <color theme="1"/>
      <name val="Arial"/>
      <family val="2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color rgb="FF0070C0"/>
      <name val="Poppins"/>
    </font>
    <font>
      <sz val="8"/>
      <color rgb="FF0070C0"/>
      <name val="Century Gothic"/>
      <family val="2"/>
    </font>
    <font>
      <sz val="8"/>
      <color rgb="FF0070C0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8"/>
      <color rgb="FFFFFFFF"/>
      <name val="Poppins"/>
    </font>
    <font>
      <sz val="8"/>
      <color rgb="FF000000"/>
      <name val="Poppins"/>
    </font>
    <font>
      <u/>
      <sz val="9"/>
      <color theme="10"/>
      <name val="Aptos Narrow"/>
      <family val="2"/>
      <scheme val="minor"/>
    </font>
    <font>
      <u/>
      <sz val="9"/>
      <color theme="10"/>
      <name val="Poppins"/>
    </font>
    <font>
      <sz val="9"/>
      <name val="Poppins"/>
    </font>
    <font>
      <sz val="9"/>
      <color rgb="FF001D35"/>
      <name val="Arial"/>
      <family val="2"/>
    </font>
    <font>
      <sz val="16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196B24"/>
        <bgColor rgb="FF196B2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6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/>
      <bottom style="medium">
        <color rgb="FFDDDDDD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44" fontId="2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0" fontId="10" fillId="0" borderId="0" applyNumberForma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6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44" fontId="0" fillId="0" borderId="0" xfId="1" applyFont="1"/>
    <xf numFmtId="0" fontId="0" fillId="0" borderId="1" xfId="0" applyBorder="1"/>
    <xf numFmtId="0" fontId="0" fillId="4" borderId="1" xfId="0" applyFill="1" applyBorder="1"/>
    <xf numFmtId="0" fontId="0" fillId="2" borderId="1" xfId="0" applyFill="1" applyBorder="1"/>
    <xf numFmtId="44" fontId="0" fillId="4" borderId="0" xfId="1" applyFont="1" applyFill="1"/>
    <xf numFmtId="44" fontId="0" fillId="2" borderId="0" xfId="1" applyFont="1" applyFill="1"/>
    <xf numFmtId="166" fontId="0" fillId="0" borderId="0" xfId="0" applyNumberFormat="1"/>
    <xf numFmtId="0" fontId="0" fillId="8" borderId="0" xfId="0" applyFill="1"/>
    <xf numFmtId="44" fontId="0" fillId="0" borderId="0" xfId="0" applyNumberFormat="1"/>
    <xf numFmtId="44" fontId="0" fillId="0" borderId="15" xfId="1" applyFont="1" applyBorder="1"/>
    <xf numFmtId="44" fontId="11" fillId="0" borderId="15" xfId="1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4" fontId="11" fillId="0" borderId="16" xfId="1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0" borderId="0" xfId="0" applyFont="1"/>
    <xf numFmtId="44" fontId="12" fillId="0" borderId="0" xfId="1" applyFont="1"/>
    <xf numFmtId="0" fontId="13" fillId="8" borderId="0" xfId="0" applyFont="1" applyFill="1"/>
    <xf numFmtId="0" fontId="13" fillId="0" borderId="0" xfId="0" applyFont="1"/>
    <xf numFmtId="0" fontId="14" fillId="8" borderId="0" xfId="0" applyFont="1" applyFill="1" applyAlignment="1">
      <alignment horizontal="center"/>
    </xf>
    <xf numFmtId="165" fontId="13" fillId="8" borderId="0" xfId="0" applyNumberFormat="1" applyFont="1" applyFill="1"/>
    <xf numFmtId="0" fontId="15" fillId="8" borderId="0" xfId="0" applyFont="1" applyFill="1"/>
    <xf numFmtId="0" fontId="13" fillId="8" borderId="0" xfId="0" applyFont="1" applyFill="1" applyAlignment="1">
      <alignment horizontal="left"/>
    </xf>
    <xf numFmtId="0" fontId="8" fillId="8" borderId="0" xfId="0" applyFont="1" applyFill="1"/>
    <xf numFmtId="0" fontId="16" fillId="6" borderId="1" xfId="0" applyFont="1" applyFill="1" applyBorder="1"/>
    <xf numFmtId="0" fontId="8" fillId="2" borderId="0" xfId="0" applyFont="1" applyFill="1"/>
    <xf numFmtId="0" fontId="8" fillId="0" borderId="0" xfId="0" applyFont="1"/>
    <xf numFmtId="0" fontId="7" fillId="0" borderId="0" xfId="0" applyFont="1"/>
    <xf numFmtId="0" fontId="8" fillId="5" borderId="0" xfId="0" applyFont="1" applyFill="1"/>
    <xf numFmtId="0" fontId="8" fillId="0" borderId="1" xfId="0" applyFont="1" applyBorder="1"/>
    <xf numFmtId="0" fontId="8" fillId="0" borderId="0" xfId="0" applyFont="1" applyAlignment="1">
      <alignment horizontal="center"/>
    </xf>
    <xf numFmtId="44" fontId="8" fillId="4" borderId="0" xfId="1" applyFont="1" applyFill="1"/>
    <xf numFmtId="0" fontId="8" fillId="0" borderId="14" xfId="0" applyFont="1" applyBorder="1"/>
    <xf numFmtId="44" fontId="8" fillId="0" borderId="0" xfId="1" applyFont="1"/>
    <xf numFmtId="0" fontId="16" fillId="0" borderId="1" xfId="0" applyFont="1" applyBorder="1" applyAlignment="1">
      <alignment horizontal="center" vertical="center" wrapText="1"/>
    </xf>
    <xf numFmtId="2" fontId="16" fillId="0" borderId="1" xfId="0" applyNumberFormat="1" applyFont="1" applyBorder="1" applyAlignment="1">
      <alignment horizontal="center" vertical="center" wrapText="1"/>
    </xf>
    <xf numFmtId="0" fontId="16" fillId="0" borderId="0" xfId="1" applyNumberFormat="1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2" fontId="8" fillId="0" borderId="0" xfId="0" applyNumberFormat="1" applyFont="1" applyAlignment="1">
      <alignment horizontal="center" vertical="center" wrapText="1"/>
    </xf>
    <xf numFmtId="44" fontId="8" fillId="0" borderId="0" xfId="1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8" fillId="0" borderId="0" xfId="0" applyFont="1" applyAlignment="1">
      <alignment wrapText="1"/>
    </xf>
    <xf numFmtId="3" fontId="8" fillId="0" borderId="0" xfId="0" applyNumberFormat="1" applyFont="1" applyAlignment="1">
      <alignment horizontal="center" vertical="center" wrapText="1"/>
    </xf>
    <xf numFmtId="2" fontId="8" fillId="0" borderId="0" xfId="0" applyNumberFormat="1" applyFont="1"/>
    <xf numFmtId="2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4" fontId="8" fillId="0" borderId="0" xfId="0" applyNumberFormat="1" applyFont="1" applyAlignment="1">
      <alignment horizontal="center" vertical="center" wrapText="1"/>
    </xf>
    <xf numFmtId="2" fontId="12" fillId="0" borderId="0" xfId="0" applyNumberFormat="1" applyFont="1"/>
    <xf numFmtId="164" fontId="13" fillId="0" borderId="0" xfId="0" applyNumberFormat="1" applyFont="1"/>
    <xf numFmtId="0" fontId="7" fillId="3" borderId="4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8" fillId="0" borderId="4" xfId="0" applyFont="1" applyBorder="1" applyAlignment="1">
      <alignment horizontal="right" vertical="center" wrapText="1"/>
    </xf>
    <xf numFmtId="0" fontId="8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right" vertical="center" wrapText="1"/>
    </xf>
    <xf numFmtId="0" fontId="1" fillId="4" borderId="1" xfId="0" applyFont="1" applyFill="1" applyBorder="1"/>
    <xf numFmtId="0" fontId="1" fillId="2" borderId="1" xfId="0" applyFont="1" applyFill="1" applyBorder="1"/>
    <xf numFmtId="0" fontId="8" fillId="8" borderId="18" xfId="0" applyFont="1" applyFill="1" applyBorder="1"/>
    <xf numFmtId="0" fontId="17" fillId="8" borderId="18" xfId="0" applyFont="1" applyFill="1" applyBorder="1" applyAlignment="1">
      <alignment horizontal="center"/>
    </xf>
    <xf numFmtId="0" fontId="7" fillId="8" borderId="0" xfId="0" applyFont="1" applyFill="1"/>
    <xf numFmtId="44" fontId="8" fillId="8" borderId="0" xfId="1" applyFont="1" applyFill="1" applyBorder="1"/>
    <xf numFmtId="0" fontId="8" fillId="8" borderId="22" xfId="0" applyFont="1" applyFill="1" applyBorder="1"/>
    <xf numFmtId="0" fontId="7" fillId="8" borderId="21" xfId="0" applyFont="1" applyFill="1" applyBorder="1" applyAlignment="1">
      <alignment vertical="top"/>
    </xf>
    <xf numFmtId="0" fontId="8" fillId="8" borderId="0" xfId="0" applyFont="1" applyFill="1" applyAlignment="1">
      <alignment horizontal="left" wrapText="1"/>
    </xf>
    <xf numFmtId="0" fontId="21" fillId="8" borderId="0" xfId="0" applyFont="1" applyFill="1"/>
    <xf numFmtId="0" fontId="10" fillId="0" borderId="0" xfId="4"/>
    <xf numFmtId="1" fontId="8" fillId="0" borderId="0" xfId="0" applyNumberFormat="1" applyFont="1" applyAlignment="1">
      <alignment horizontal="center" vertical="center" wrapText="1"/>
    </xf>
    <xf numFmtId="168" fontId="8" fillId="0" borderId="0" xfId="1" applyNumberFormat="1" applyFont="1" applyAlignment="1">
      <alignment horizontal="center" vertical="center" wrapText="1"/>
    </xf>
    <xf numFmtId="168" fontId="16" fillId="0" borderId="0" xfId="1" applyNumberFormat="1" applyFont="1" applyFill="1" applyAlignment="1">
      <alignment horizontal="center" vertical="center" wrapText="1"/>
    </xf>
    <xf numFmtId="168" fontId="8" fillId="0" borderId="0" xfId="1" applyNumberFormat="1" applyFont="1"/>
    <xf numFmtId="168" fontId="8" fillId="0" borderId="0" xfId="1" applyNumberFormat="1" applyFont="1" applyAlignment="1">
      <alignment horizontal="center" vertical="center"/>
    </xf>
    <xf numFmtId="168" fontId="12" fillId="0" borderId="0" xfId="1" applyNumberFormat="1" applyFont="1"/>
    <xf numFmtId="0" fontId="23" fillId="0" borderId="0" xfId="0" applyFont="1" applyAlignment="1">
      <alignment vertical="center" wrapText="1"/>
    </xf>
    <xf numFmtId="44" fontId="11" fillId="0" borderId="15" xfId="1" applyFont="1" applyBorder="1"/>
    <xf numFmtId="44" fontId="11" fillId="0" borderId="16" xfId="1" applyFont="1" applyBorder="1"/>
    <xf numFmtId="0" fontId="22" fillId="8" borderId="0" xfId="0" applyFont="1" applyFill="1"/>
    <xf numFmtId="0" fontId="8" fillId="4" borderId="0" xfId="0" applyFont="1" applyFill="1"/>
    <xf numFmtId="0" fontId="8" fillId="4" borderId="3" xfId="0" applyFont="1" applyFill="1" applyBorder="1" applyAlignment="1">
      <alignment vertical="center" wrapText="1"/>
    </xf>
    <xf numFmtId="0" fontId="8" fillId="4" borderId="4" xfId="0" applyFont="1" applyFill="1" applyBorder="1" applyAlignment="1">
      <alignment horizontal="right" vertical="center" wrapText="1"/>
    </xf>
    <xf numFmtId="0" fontId="8" fillId="4" borderId="2" xfId="0" applyFont="1" applyFill="1" applyBorder="1" applyAlignment="1">
      <alignment horizontal="right" vertical="center" wrapText="1"/>
    </xf>
    <xf numFmtId="168" fontId="8" fillId="0" borderId="0" xfId="1" applyNumberFormat="1" applyFont="1" applyFill="1" applyAlignment="1">
      <alignment horizontal="center" vertical="center" wrapText="1"/>
    </xf>
    <xf numFmtId="44" fontId="8" fillId="0" borderId="0" xfId="1" applyFont="1" applyFill="1" applyAlignment="1">
      <alignment horizontal="center" vertical="center" wrapText="1"/>
    </xf>
    <xf numFmtId="0" fontId="28" fillId="11" borderId="28" xfId="0" applyFont="1" applyFill="1" applyBorder="1" applyAlignment="1">
      <alignment vertical="top" wrapText="1"/>
    </xf>
    <xf numFmtId="0" fontId="28" fillId="11" borderId="27" xfId="0" applyFont="1" applyFill="1" applyBorder="1" applyAlignment="1">
      <alignment vertical="top" wrapText="1"/>
    </xf>
    <xf numFmtId="6" fontId="28" fillId="11" borderId="28" xfId="0" applyNumberFormat="1" applyFont="1" applyFill="1" applyBorder="1" applyAlignment="1">
      <alignment vertical="top" wrapText="1"/>
    </xf>
    <xf numFmtId="0" fontId="27" fillId="12" borderId="29" xfId="0" applyFont="1" applyFill="1" applyBorder="1" applyAlignment="1">
      <alignment horizontal="left" wrapText="1"/>
    </xf>
    <xf numFmtId="0" fontId="8" fillId="4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/>
    </xf>
    <xf numFmtId="44" fontId="8" fillId="4" borderId="0" xfId="1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0" xfId="1" applyNumberFormat="1" applyFont="1" applyFill="1" applyAlignment="1">
      <alignment horizontal="center" vertical="center" wrapText="1"/>
    </xf>
    <xf numFmtId="0" fontId="8" fillId="0" borderId="0" xfId="0" applyFont="1" applyAlignment="1">
      <alignment horizontal="left"/>
    </xf>
    <xf numFmtId="16" fontId="8" fillId="0" borderId="0" xfId="0" applyNumberFormat="1" applyFont="1" applyAlignment="1">
      <alignment horizontal="left"/>
    </xf>
    <xf numFmtId="0" fontId="7" fillId="3" borderId="26" xfId="0" applyFont="1" applyFill="1" applyBorder="1" applyAlignment="1">
      <alignment horizontal="center" vertical="center" wrapText="1"/>
    </xf>
    <xf numFmtId="0" fontId="28" fillId="11" borderId="28" xfId="0" applyFont="1" applyFill="1" applyBorder="1" applyAlignment="1">
      <alignment horizontal="left" vertical="top" wrapText="1"/>
    </xf>
    <xf numFmtId="0" fontId="14" fillId="8" borderId="0" xfId="0" applyFont="1" applyFill="1"/>
    <xf numFmtId="44" fontId="13" fillId="8" borderId="0" xfId="0" applyNumberFormat="1" applyFont="1" applyFill="1"/>
    <xf numFmtId="44" fontId="21" fillId="8" borderId="0" xfId="0" applyNumberFormat="1" applyFont="1" applyFill="1"/>
    <xf numFmtId="0" fontId="31" fillId="8" borderId="21" xfId="0" applyFont="1" applyFill="1" applyBorder="1"/>
    <xf numFmtId="0" fontId="25" fillId="8" borderId="0" xfId="0" applyFont="1" applyFill="1"/>
    <xf numFmtId="0" fontId="25" fillId="8" borderId="21" xfId="0" applyFont="1" applyFill="1" applyBorder="1" applyAlignment="1">
      <alignment horizontal="left"/>
    </xf>
    <xf numFmtId="0" fontId="25" fillId="8" borderId="21" xfId="0" applyFont="1" applyFill="1" applyBorder="1"/>
    <xf numFmtId="0" fontId="30" fillId="8" borderId="0" xfId="0" applyFont="1" applyFill="1"/>
    <xf numFmtId="0" fontId="29" fillId="8" borderId="0" xfId="0" applyFont="1" applyFill="1"/>
    <xf numFmtId="2" fontId="33" fillId="2" borderId="2" xfId="0" applyNumberFormat="1" applyFont="1" applyFill="1" applyBorder="1" applyAlignment="1">
      <alignment horizontal="center"/>
    </xf>
    <xf numFmtId="0" fontId="33" fillId="2" borderId="2" xfId="0" applyFont="1" applyFill="1" applyBorder="1" applyAlignment="1">
      <alignment horizontal="center"/>
    </xf>
    <xf numFmtId="0" fontId="34" fillId="8" borderId="19" xfId="0" applyFont="1" applyFill="1" applyBorder="1" applyAlignment="1">
      <alignment horizontal="center"/>
    </xf>
    <xf numFmtId="0" fontId="35" fillId="8" borderId="19" xfId="0" applyFont="1" applyFill="1" applyBorder="1" applyAlignment="1">
      <alignment horizontal="center"/>
    </xf>
    <xf numFmtId="44" fontId="34" fillId="8" borderId="19" xfId="1" applyFont="1" applyFill="1" applyBorder="1" applyAlignment="1">
      <alignment horizontal="center"/>
    </xf>
    <xf numFmtId="0" fontId="34" fillId="8" borderId="20" xfId="0" applyFont="1" applyFill="1" applyBorder="1" applyAlignment="1">
      <alignment horizontal="center"/>
    </xf>
    <xf numFmtId="0" fontId="33" fillId="8" borderId="0" xfId="0" applyFont="1" applyFill="1"/>
    <xf numFmtId="44" fontId="33" fillId="8" borderId="0" xfId="1" applyFont="1" applyFill="1" applyBorder="1"/>
    <xf numFmtId="0" fontId="33" fillId="8" borderId="22" xfId="1" applyNumberFormat="1" applyFont="1" applyFill="1" applyBorder="1"/>
    <xf numFmtId="0" fontId="33" fillId="8" borderId="22" xfId="0" applyFont="1" applyFill="1" applyBorder="1"/>
    <xf numFmtId="9" fontId="33" fillId="2" borderId="2" xfId="0" applyNumberFormat="1" applyFont="1" applyFill="1" applyBorder="1" applyAlignment="1">
      <alignment horizontal="center"/>
    </xf>
    <xf numFmtId="9" fontId="34" fillId="8" borderId="0" xfId="0" applyNumberFormat="1" applyFont="1" applyFill="1" applyAlignment="1">
      <alignment horizontal="center"/>
    </xf>
    <xf numFmtId="9" fontId="33" fillId="2" borderId="2" xfId="6" applyFont="1" applyFill="1" applyBorder="1" applyAlignment="1">
      <alignment horizontal="center"/>
    </xf>
    <xf numFmtId="0" fontId="34" fillId="8" borderId="0" xfId="0" applyFont="1" applyFill="1" applyAlignment="1">
      <alignment horizontal="center"/>
    </xf>
    <xf numFmtId="0" fontId="33" fillId="8" borderId="2" xfId="0" applyFont="1" applyFill="1" applyBorder="1"/>
    <xf numFmtId="0" fontId="33" fillId="2" borderId="2" xfId="6" applyNumberFormat="1" applyFont="1" applyFill="1" applyBorder="1" applyAlignment="1">
      <alignment horizontal="center"/>
    </xf>
    <xf numFmtId="0" fontId="34" fillId="8" borderId="21" xfId="0" applyFont="1" applyFill="1" applyBorder="1"/>
    <xf numFmtId="0" fontId="33" fillId="2" borderId="3" xfId="0" applyFont="1" applyFill="1" applyBorder="1"/>
    <xf numFmtId="0" fontId="34" fillId="8" borderId="23" xfId="0" applyFont="1" applyFill="1" applyBorder="1"/>
    <xf numFmtId="0" fontId="34" fillId="8" borderId="24" xfId="0" applyFont="1" applyFill="1" applyBorder="1"/>
    <xf numFmtId="0" fontId="33" fillId="8" borderId="0" xfId="0" applyFont="1" applyFill="1" applyAlignment="1">
      <alignment horizontal="center" vertical="center"/>
    </xf>
    <xf numFmtId="0" fontId="33" fillId="8" borderId="0" xfId="0" applyFont="1" applyFill="1" applyAlignment="1">
      <alignment vertical="center"/>
    </xf>
    <xf numFmtId="0" fontId="33" fillId="8" borderId="10" xfId="0" applyFont="1" applyFill="1" applyBorder="1" applyAlignment="1">
      <alignment horizontal="center" vertical="center"/>
    </xf>
    <xf numFmtId="44" fontId="33" fillId="8" borderId="2" xfId="1" applyFont="1" applyFill="1" applyBorder="1"/>
    <xf numFmtId="0" fontId="33" fillId="8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33" fillId="8" borderId="0" xfId="0" applyFont="1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44" fontId="33" fillId="8" borderId="0" xfId="1" applyFont="1" applyFill="1" applyBorder="1" applyAlignment="1">
      <alignment horizontal="center"/>
    </xf>
    <xf numFmtId="0" fontId="24" fillId="8" borderId="0" xfId="0" applyFont="1" applyFill="1"/>
    <xf numFmtId="44" fontId="24" fillId="8" borderId="0" xfId="0" applyNumberFormat="1" applyFont="1" applyFill="1"/>
    <xf numFmtId="0" fontId="36" fillId="8" borderId="0" xfId="0" applyFont="1" applyFill="1"/>
    <xf numFmtId="0" fontId="7" fillId="8" borderId="0" xfId="0" applyFont="1" applyFill="1" applyAlignment="1">
      <alignment vertical="top"/>
    </xf>
    <xf numFmtId="0" fontId="38" fillId="8" borderId="5" xfId="0" applyFont="1" applyFill="1" applyBorder="1"/>
    <xf numFmtId="0" fontId="42" fillId="13" borderId="10" xfId="0" applyFont="1" applyFill="1" applyBorder="1" applyAlignment="1">
      <alignment horizontal="center"/>
    </xf>
    <xf numFmtId="0" fontId="43" fillId="10" borderId="6" xfId="0" applyFont="1" applyFill="1" applyBorder="1" applyAlignment="1">
      <alignment horizontal="center"/>
    </xf>
    <xf numFmtId="0" fontId="38" fillId="8" borderId="31" xfId="0" applyFont="1" applyFill="1" applyBorder="1" applyAlignment="1">
      <alignment horizontal="left" vertical="center"/>
    </xf>
    <xf numFmtId="2" fontId="38" fillId="8" borderId="0" xfId="0" applyNumberFormat="1" applyFont="1" applyFill="1"/>
    <xf numFmtId="2" fontId="38" fillId="8" borderId="32" xfId="0" applyNumberFormat="1" applyFont="1" applyFill="1" applyBorder="1"/>
    <xf numFmtId="0" fontId="38" fillId="8" borderId="0" xfId="0" applyFont="1" applyFill="1"/>
    <xf numFmtId="0" fontId="38" fillId="8" borderId="32" xfId="0" applyFont="1" applyFill="1" applyBorder="1"/>
    <xf numFmtId="0" fontId="38" fillId="8" borderId="31" xfId="0" applyFont="1" applyFill="1" applyBorder="1"/>
    <xf numFmtId="44" fontId="38" fillId="8" borderId="0" xfId="1" applyFont="1" applyFill="1" applyBorder="1"/>
    <xf numFmtId="44" fontId="38" fillId="8" borderId="32" xfId="1" applyFont="1" applyFill="1" applyBorder="1"/>
    <xf numFmtId="0" fontId="40" fillId="8" borderId="5" xfId="0" applyFont="1" applyFill="1" applyBorder="1"/>
    <xf numFmtId="166" fontId="40" fillId="8" borderId="10" xfId="0" applyNumberFormat="1" applyFont="1" applyFill="1" applyBorder="1"/>
    <xf numFmtId="166" fontId="40" fillId="8" borderId="6" xfId="0" applyNumberFormat="1" applyFont="1" applyFill="1" applyBorder="1"/>
    <xf numFmtId="44" fontId="40" fillId="8" borderId="10" xfId="1" applyFont="1" applyFill="1" applyBorder="1"/>
    <xf numFmtId="44" fontId="40" fillId="8" borderId="6" xfId="1" applyFont="1" applyFill="1" applyBorder="1"/>
    <xf numFmtId="44" fontId="40" fillId="8" borderId="5" xfId="1" applyFont="1" applyFill="1" applyBorder="1" applyAlignment="1">
      <alignment horizontal="left"/>
    </xf>
    <xf numFmtId="0" fontId="40" fillId="8" borderId="13" xfId="0" applyFont="1" applyFill="1" applyBorder="1"/>
    <xf numFmtId="44" fontId="40" fillId="8" borderId="11" xfId="0" applyNumberFormat="1" applyFont="1" applyFill="1" applyBorder="1"/>
    <xf numFmtId="44" fontId="40" fillId="8" borderId="12" xfId="0" applyNumberFormat="1" applyFont="1" applyFill="1" applyBorder="1"/>
    <xf numFmtId="0" fontId="44" fillId="10" borderId="6" xfId="0" applyFont="1" applyFill="1" applyBorder="1" applyAlignment="1">
      <alignment horizontal="center"/>
    </xf>
    <xf numFmtId="0" fontId="45" fillId="8" borderId="31" xfId="0" applyFont="1" applyFill="1" applyBorder="1" applyAlignment="1">
      <alignment horizontal="left" vertical="center"/>
    </xf>
    <xf numFmtId="44" fontId="38" fillId="8" borderId="0" xfId="1" applyFont="1" applyFill="1"/>
    <xf numFmtId="44" fontId="46" fillId="8" borderId="32" xfId="1" applyFont="1" applyFill="1" applyBorder="1"/>
    <xf numFmtId="0" fontId="46" fillId="8" borderId="31" xfId="0" applyFont="1" applyFill="1" applyBorder="1"/>
    <xf numFmtId="0" fontId="46" fillId="8" borderId="0" xfId="0" applyFont="1" applyFill="1"/>
    <xf numFmtId="0" fontId="46" fillId="8" borderId="32" xfId="0" applyFont="1" applyFill="1" applyBorder="1"/>
    <xf numFmtId="44" fontId="47" fillId="8" borderId="6" xfId="1" applyFont="1" applyFill="1" applyBorder="1"/>
    <xf numFmtId="44" fontId="47" fillId="8" borderId="12" xfId="0" applyNumberFormat="1" applyFont="1" applyFill="1" applyBorder="1"/>
    <xf numFmtId="0" fontId="35" fillId="8" borderId="0" xfId="0" applyFont="1" applyFill="1" applyAlignment="1">
      <alignment horizontal="center"/>
    </xf>
    <xf numFmtId="0" fontId="48" fillId="0" borderId="0" xfId="0" applyFont="1" applyAlignment="1">
      <alignment horizontal="center" vertical="center" wrapText="1"/>
    </xf>
    <xf numFmtId="0" fontId="48" fillId="4" borderId="0" xfId="0" applyFont="1" applyFill="1" applyAlignment="1">
      <alignment horizontal="center" vertical="center" wrapText="1"/>
    </xf>
    <xf numFmtId="2" fontId="48" fillId="0" borderId="0" xfId="0" applyNumberFormat="1" applyFont="1" applyAlignment="1">
      <alignment horizontal="center" vertical="center" wrapText="1"/>
    </xf>
    <xf numFmtId="168" fontId="48" fillId="0" borderId="0" xfId="1" applyNumberFormat="1" applyFont="1" applyAlignment="1">
      <alignment horizontal="center" vertical="center" wrapText="1"/>
    </xf>
    <xf numFmtId="44" fontId="48" fillId="4" borderId="0" xfId="1" applyFont="1" applyFill="1" applyAlignment="1">
      <alignment horizontal="center" vertical="center" wrapText="1"/>
    </xf>
    <xf numFmtId="44" fontId="48" fillId="0" borderId="0" xfId="1" applyFont="1" applyAlignment="1">
      <alignment horizontal="center" vertical="center" wrapText="1"/>
    </xf>
    <xf numFmtId="0" fontId="48" fillId="0" borderId="0" xfId="0" applyFont="1" applyAlignment="1">
      <alignment wrapText="1"/>
    </xf>
    <xf numFmtId="1" fontId="48" fillId="0" borderId="0" xfId="0" applyNumberFormat="1" applyFont="1" applyAlignment="1">
      <alignment horizontal="center" vertical="center" wrapText="1"/>
    </xf>
    <xf numFmtId="0" fontId="48" fillId="4" borderId="9" xfId="0" applyFont="1" applyFill="1" applyBorder="1" applyAlignment="1">
      <alignment horizontal="center" vertical="center" wrapText="1"/>
    </xf>
    <xf numFmtId="0" fontId="49" fillId="4" borderId="0" xfId="0" applyFont="1" applyFill="1" applyAlignment="1">
      <alignment horizontal="center" vertical="center" wrapText="1"/>
    </xf>
    <xf numFmtId="0" fontId="50" fillId="0" borderId="0" xfId="0" applyFont="1"/>
    <xf numFmtId="3" fontId="4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right"/>
    </xf>
    <xf numFmtId="3" fontId="8" fillId="0" borderId="0" xfId="0" applyNumberFormat="1" applyFont="1"/>
    <xf numFmtId="1" fontId="33" fillId="8" borderId="22" xfId="1" applyNumberFormat="1" applyFont="1" applyFill="1" applyBorder="1"/>
    <xf numFmtId="1" fontId="33" fillId="8" borderId="22" xfId="0" applyNumberFormat="1" applyFont="1" applyFill="1" applyBorder="1"/>
    <xf numFmtId="1" fontId="33" fillId="8" borderId="0" xfId="1" applyNumberFormat="1" applyFont="1" applyFill="1" applyBorder="1"/>
    <xf numFmtId="0" fontId="51" fillId="8" borderId="0" xfId="0" applyFont="1" applyFill="1"/>
    <xf numFmtId="0" fontId="52" fillId="0" borderId="0" xfId="0" applyFont="1" applyAlignment="1">
      <alignment vertical="center"/>
    </xf>
    <xf numFmtId="0" fontId="53" fillId="0" borderId="0" xfId="0" applyFont="1" applyAlignment="1">
      <alignment vertical="center"/>
    </xf>
    <xf numFmtId="0" fontId="54" fillId="14" borderId="0" xfId="0" applyFont="1" applyFill="1"/>
    <xf numFmtId="0" fontId="55" fillId="0" borderId="0" xfId="0" applyFont="1"/>
    <xf numFmtId="164" fontId="55" fillId="0" borderId="0" xfId="0" applyNumberFormat="1" applyFont="1"/>
    <xf numFmtId="0" fontId="33" fillId="8" borderId="0" xfId="1" applyNumberFormat="1" applyFont="1" applyFill="1" applyBorder="1"/>
    <xf numFmtId="0" fontId="5" fillId="0" borderId="0" xfId="0" applyFont="1" applyAlignment="1">
      <alignment horizontal="center" vertical="center" wrapText="1"/>
    </xf>
    <xf numFmtId="166" fontId="0" fillId="8" borderId="0" xfId="0" applyNumberFormat="1" applyFill="1"/>
    <xf numFmtId="0" fontId="22" fillId="6" borderId="1" xfId="0" applyFont="1" applyFill="1" applyBorder="1"/>
    <xf numFmtId="0" fontId="13" fillId="2" borderId="0" xfId="0" applyFont="1" applyFill="1"/>
    <xf numFmtId="9" fontId="13" fillId="2" borderId="0" xfId="0" applyNumberFormat="1" applyFont="1" applyFill="1"/>
    <xf numFmtId="0" fontId="13" fillId="5" borderId="0" xfId="0" applyFont="1" applyFill="1"/>
    <xf numFmtId="167" fontId="13" fillId="5" borderId="0" xfId="5" applyFont="1" applyFill="1"/>
    <xf numFmtId="2" fontId="13" fillId="5" borderId="0" xfId="0" applyNumberFormat="1" applyFont="1" applyFill="1"/>
    <xf numFmtId="0" fontId="56" fillId="5" borderId="0" xfId="4" applyFont="1" applyFill="1"/>
    <xf numFmtId="0" fontId="57" fillId="5" borderId="0" xfId="4" applyFont="1" applyFill="1" applyAlignment="1"/>
    <xf numFmtId="0" fontId="57" fillId="5" borderId="0" xfId="4" applyFont="1" applyFill="1"/>
    <xf numFmtId="0" fontId="13" fillId="5" borderId="0" xfId="0" quotePrefix="1" applyFont="1" applyFill="1"/>
    <xf numFmtId="0" fontId="13" fillId="7" borderId="0" xfId="0" applyFont="1" applyFill="1"/>
    <xf numFmtId="10" fontId="13" fillId="2" borderId="0" xfId="0" applyNumberFormat="1" applyFont="1" applyFill="1"/>
    <xf numFmtId="0" fontId="13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left"/>
    </xf>
    <xf numFmtId="0" fontId="13" fillId="5" borderId="0" xfId="0" applyFont="1" applyFill="1" applyAlignment="1">
      <alignment horizontal="left" indent="1"/>
    </xf>
    <xf numFmtId="0" fontId="14" fillId="2" borderId="0" xfId="0" applyFont="1" applyFill="1"/>
    <xf numFmtId="0" fontId="13" fillId="5" borderId="0" xfId="0" applyFont="1" applyFill="1" applyAlignment="1">
      <alignment horizontal="left"/>
    </xf>
    <xf numFmtId="0" fontId="58" fillId="5" borderId="0" xfId="4" applyFont="1" applyFill="1" applyAlignment="1"/>
    <xf numFmtId="9" fontId="13" fillId="5" borderId="0" xfId="0" applyNumberFormat="1" applyFont="1" applyFill="1"/>
    <xf numFmtId="167" fontId="0" fillId="2" borderId="0" xfId="1" applyNumberFormat="1" applyFont="1" applyFill="1"/>
    <xf numFmtId="0" fontId="10" fillId="7" borderId="0" xfId="4" applyFill="1"/>
    <xf numFmtId="0" fontId="10" fillId="7" borderId="0" xfId="4" quotePrefix="1" applyFill="1"/>
    <xf numFmtId="0" fontId="59" fillId="0" borderId="0" xfId="0" applyFont="1"/>
    <xf numFmtId="167" fontId="33" fillId="8" borderId="0" xfId="5" applyFont="1" applyFill="1" applyBorder="1"/>
    <xf numFmtId="3" fontId="33" fillId="2" borderId="2" xfId="0" applyNumberFormat="1" applyFont="1" applyFill="1" applyBorder="1" applyAlignment="1">
      <alignment horizontal="center"/>
    </xf>
    <xf numFmtId="0" fontId="8" fillId="15" borderId="0" xfId="0" applyFont="1" applyFill="1" applyAlignment="1">
      <alignment horizontal="center" vertical="center" wrapText="1"/>
    </xf>
    <xf numFmtId="3" fontId="8" fillId="15" borderId="0" xfId="0" applyNumberFormat="1" applyFont="1" applyFill="1" applyAlignment="1">
      <alignment horizontal="center" vertical="center" wrapText="1"/>
    </xf>
    <xf numFmtId="2" fontId="8" fillId="15" borderId="0" xfId="0" applyNumberFormat="1" applyFont="1" applyFill="1" applyAlignment="1">
      <alignment horizontal="center" vertical="center" wrapText="1"/>
    </xf>
    <xf numFmtId="168" fontId="8" fillId="15" borderId="0" xfId="1" applyNumberFormat="1" applyFont="1" applyFill="1" applyAlignment="1">
      <alignment horizontal="center" vertical="center" wrapText="1"/>
    </xf>
    <xf numFmtId="44" fontId="8" fillId="15" borderId="0" xfId="1" applyFont="1" applyFill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2" fontId="19" fillId="15" borderId="0" xfId="0" applyNumberFormat="1" applyFont="1" applyFill="1" applyAlignment="1">
      <alignment horizontal="center" vertical="center" wrapText="1"/>
    </xf>
    <xf numFmtId="165" fontId="33" fillId="8" borderId="0" xfId="0" applyNumberFormat="1" applyFont="1" applyFill="1"/>
    <xf numFmtId="165" fontId="24" fillId="8" borderId="0" xfId="0" applyNumberFormat="1" applyFont="1" applyFill="1"/>
    <xf numFmtId="0" fontId="60" fillId="8" borderId="0" xfId="0" applyFont="1" applyFill="1"/>
    <xf numFmtId="165" fontId="14" fillId="8" borderId="0" xfId="0" applyNumberFormat="1" applyFont="1" applyFill="1"/>
    <xf numFmtId="0" fontId="32" fillId="6" borderId="25" xfId="0" applyFont="1" applyFill="1" applyBorder="1" applyAlignment="1">
      <alignment horizontal="center"/>
    </xf>
    <xf numFmtId="0" fontId="33" fillId="8" borderId="2" xfId="0" applyFont="1" applyFill="1" applyBorder="1" applyAlignment="1">
      <alignment horizontal="left"/>
    </xf>
    <xf numFmtId="0" fontId="41" fillId="6" borderId="0" xfId="0" applyFont="1" applyFill="1" applyAlignment="1">
      <alignment horizontal="center" vertical="center"/>
    </xf>
    <xf numFmtId="0" fontId="37" fillId="9" borderId="5" xfId="0" applyFont="1" applyFill="1" applyBorder="1" applyAlignment="1">
      <alignment horizontal="center"/>
    </xf>
    <xf numFmtId="0" fontId="37" fillId="9" borderId="10" xfId="0" applyFont="1" applyFill="1" applyBorder="1" applyAlignment="1">
      <alignment horizontal="center"/>
    </xf>
    <xf numFmtId="0" fontId="37" fillId="9" borderId="6" xfId="0" applyFont="1" applyFill="1" applyBorder="1" applyAlignment="1">
      <alignment horizontal="center"/>
    </xf>
    <xf numFmtId="44" fontId="38" fillId="8" borderId="31" xfId="1" applyFont="1" applyFill="1" applyBorder="1" applyAlignment="1">
      <alignment horizontal="center"/>
    </xf>
    <xf numFmtId="44" fontId="38" fillId="8" borderId="0" xfId="1" applyFont="1" applyFill="1" applyBorder="1" applyAlignment="1">
      <alignment horizontal="center"/>
    </xf>
    <xf numFmtId="44" fontId="38" fillId="8" borderId="32" xfId="1" applyFont="1" applyFill="1" applyBorder="1" applyAlignment="1">
      <alignment horizontal="center"/>
    </xf>
    <xf numFmtId="0" fontId="32" fillId="6" borderId="13" xfId="0" applyFont="1" applyFill="1" applyBorder="1" applyAlignment="1">
      <alignment horizontal="center"/>
    </xf>
    <xf numFmtId="0" fontId="32" fillId="6" borderId="11" xfId="0" applyFont="1" applyFill="1" applyBorder="1" applyAlignment="1">
      <alignment horizontal="center"/>
    </xf>
    <xf numFmtId="0" fontId="32" fillId="6" borderId="12" xfId="0" applyFont="1" applyFill="1" applyBorder="1" applyAlignment="1">
      <alignment horizontal="center"/>
    </xf>
    <xf numFmtId="0" fontId="39" fillId="10" borderId="31" xfId="0" applyFont="1" applyFill="1" applyBorder="1" applyAlignment="1">
      <alignment horizontal="center"/>
    </xf>
    <xf numFmtId="0" fontId="39" fillId="10" borderId="0" xfId="0" applyFont="1" applyFill="1" applyAlignment="1">
      <alignment horizontal="center"/>
    </xf>
    <xf numFmtId="0" fontId="39" fillId="10" borderId="32" xfId="0" applyFont="1" applyFill="1" applyBorder="1" applyAlignment="1">
      <alignment horizontal="center"/>
    </xf>
    <xf numFmtId="0" fontId="40" fillId="2" borderId="31" xfId="0" applyFont="1" applyFill="1" applyBorder="1" applyAlignment="1">
      <alignment horizontal="center"/>
    </xf>
    <xf numFmtId="0" fontId="40" fillId="2" borderId="0" xfId="0" applyFont="1" applyFill="1" applyAlignment="1">
      <alignment horizontal="center"/>
    </xf>
    <xf numFmtId="0" fontId="40" fillId="2" borderId="32" xfId="0" applyFont="1" applyFill="1" applyBorder="1" applyAlignment="1">
      <alignment horizontal="center"/>
    </xf>
    <xf numFmtId="0" fontId="14" fillId="8" borderId="0" xfId="0" applyFont="1" applyFill="1" applyAlignment="1">
      <alignment horizontal="center"/>
    </xf>
    <xf numFmtId="0" fontId="40" fillId="8" borderId="5" xfId="0" applyFont="1" applyFill="1" applyBorder="1" applyAlignment="1">
      <alignment horizontal="center" vertical="center"/>
    </xf>
    <xf numFmtId="0" fontId="40" fillId="8" borderId="6" xfId="0" applyFont="1" applyFill="1" applyBorder="1" applyAlignment="1">
      <alignment horizontal="center" vertical="center"/>
    </xf>
    <xf numFmtId="0" fontId="40" fillId="8" borderId="7" xfId="0" applyFont="1" applyFill="1" applyBorder="1" applyAlignment="1">
      <alignment horizontal="center" vertical="center"/>
    </xf>
    <xf numFmtId="0" fontId="40" fillId="8" borderId="8" xfId="0" applyFont="1" applyFill="1" applyBorder="1" applyAlignment="1">
      <alignment horizontal="center" vertical="center"/>
    </xf>
    <xf numFmtId="0" fontId="32" fillId="6" borderId="17" xfId="0" applyFont="1" applyFill="1" applyBorder="1" applyAlignment="1">
      <alignment horizontal="center"/>
    </xf>
    <xf numFmtId="0" fontId="32" fillId="6" borderId="18" xfId="0" applyFont="1" applyFill="1" applyBorder="1" applyAlignment="1">
      <alignment horizontal="center"/>
    </xf>
    <xf numFmtId="44" fontId="38" fillId="8" borderId="7" xfId="1" applyFont="1" applyFill="1" applyBorder="1" applyAlignment="1">
      <alignment horizontal="center"/>
    </xf>
    <xf numFmtId="44" fontId="38" fillId="8" borderId="1" xfId="1" applyFont="1" applyFill="1" applyBorder="1" applyAlignment="1">
      <alignment horizontal="center"/>
    </xf>
    <xf numFmtId="44" fontId="38" fillId="8" borderId="8" xfId="1" applyFont="1" applyFill="1" applyBorder="1" applyAlignment="1">
      <alignment horizontal="center"/>
    </xf>
    <xf numFmtId="2" fontId="24" fillId="0" borderId="30" xfId="0" applyNumberFormat="1" applyFont="1" applyBorder="1" applyAlignment="1">
      <alignment horizontal="center"/>
    </xf>
  </cellXfs>
  <cellStyles count="7">
    <cellStyle name="Comma" xfId="5" builtinId="3"/>
    <cellStyle name="Comma 2" xfId="3" xr:uid="{9FDD4732-7324-457E-B1E4-B4CF2BCEA840}"/>
    <cellStyle name="Currency" xfId="1" builtinId="4"/>
    <cellStyle name="Hyperlink" xfId="4" builtinId="8"/>
    <cellStyle name="Normal" xfId="0" builtinId="0"/>
    <cellStyle name="Normal 2" xfId="2" xr:uid="{4AFB4941-EFC8-4114-AD37-71FA64748927}"/>
    <cellStyle name="Per cent" xfId="6" builtinId="5"/>
  </cellStyles>
  <dxfs count="74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Poppi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Poppi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Poppi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Poppi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Poppins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Poppins"/>
        <scheme val="none"/>
      </font>
      <fill>
        <patternFill patternType="solid">
          <fgColor rgb="FF196B24"/>
          <bgColor rgb="FF196B2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Poppin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Poppins"/>
        <scheme val="none"/>
      </font>
      <numFmt numFmtId="164" formatCode="&quot;$&quot;#,##0;[Red]\-&quot;$&quot;#,##0"/>
    </dxf>
    <dxf>
      <font>
        <strike val="0"/>
        <outline val="0"/>
        <shadow val="0"/>
        <u val="none"/>
        <vertAlign val="baseline"/>
        <sz val="9"/>
        <color theme="1"/>
        <name val="Poppin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Poppin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Poppin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Poppins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Poppins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Poppins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Poppins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Poppins"/>
        <scheme val="none"/>
      </font>
      <numFmt numFmtId="0" formatCode="General"/>
      <fill>
        <patternFill patternType="solid"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Poppins"/>
        <scheme val="none"/>
      </font>
      <numFmt numFmtId="0" formatCode="General"/>
      <fill>
        <patternFill patternType="solid"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Poppins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Poppi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Poppi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Poppins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Poppins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Poppi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Gothic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numFmt numFmtId="0" formatCode="General"/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numFmt numFmtId="0" formatCode="General"/>
      <fill>
        <patternFill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numFmt numFmtId="168" formatCode="&quot;$&quot;#,##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numFmt numFmtId="0" formatCode="General"/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numFmt numFmtId="0" formatCode="General"/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70BE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600" b="1">
                <a:latin typeface="Poppins" panose="00000500000000000000" pitchFamily="2" charset="0"/>
                <a:cs typeface="Poppins" panose="00000500000000000000" pitchFamily="2" charset="0"/>
              </a:rPr>
              <a:t>Total</a:t>
            </a:r>
            <a:r>
              <a:rPr lang="en-CA" sz="1600" b="1" baseline="0">
                <a:latin typeface="Poppins" panose="00000500000000000000" pitchFamily="2" charset="0"/>
                <a:cs typeface="Poppins" panose="00000500000000000000" pitchFamily="2" charset="0"/>
              </a:rPr>
              <a:t> Cost of Ownership - ICE vs EV</a:t>
            </a:r>
            <a:endParaRPr lang="en-CA" sz="1600" b="1">
              <a:latin typeface="Poppins" panose="00000500000000000000" pitchFamily="2" charset="0"/>
              <a:cs typeface="Poppins" panose="00000500000000000000" pitchFamily="2" charset="0"/>
            </a:endParaRPr>
          </a:p>
        </c:rich>
      </c:tx>
      <c:layout>
        <c:manualLayout>
          <c:xMode val="edge"/>
          <c:yMode val="edge"/>
          <c:x val="0.29589744136223972"/>
          <c:y val="1.31344093305425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46C-4DAC-8D7A-8658431F4B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ICE - Total Cost</c:v>
              </c:pt>
              <c:pt idx="1">
                <c:v>EV - Total Cost</c:v>
              </c:pt>
            </c:strLit>
          </c:cat>
          <c:val>
            <c:numRef>
              <c:f>('Cost analysis - purchase'!$P$12,'Cost analysis - purchase'!$AC$12)</c:f>
              <c:numCache>
                <c:formatCode>_("$"* #,##0.00_);_("$"* \(#,##0.00\);_("$"* "-"??_);_(@_)</c:formatCode>
                <c:ptCount val="2"/>
                <c:pt idx="0">
                  <c:v>168497.52223788499</c:v>
                </c:pt>
                <c:pt idx="1">
                  <c:v>144937.09165583603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6C-4DAC-8D7A-8658431F4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473584"/>
        <c:axId val="488460624"/>
      </c:barChart>
      <c:catAx>
        <c:axId val="48847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460624"/>
        <c:crosses val="autoZero"/>
        <c:auto val="1"/>
        <c:lblAlgn val="ctr"/>
        <c:lblOffset val="100"/>
        <c:noMultiLvlLbl val="0"/>
      </c:catAx>
      <c:valAx>
        <c:axId val="4884606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473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r>
              <a:rPr lang="en-CA" sz="1600" b="1">
                <a:latin typeface="Poppins" panose="00000500000000000000" pitchFamily="2" charset="0"/>
                <a:cs typeface="Poppins" panose="00000500000000000000" pitchFamily="2" charset="0"/>
              </a:rPr>
              <a:t>ICE Vehicle Total Costs &amp; Savings/Revenues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89951576109885"/>
          <c:y val="0.11277837074791332"/>
          <c:w val="0.82849221372221782"/>
          <c:h val="0.8169266557394162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FD7-467D-989F-DE4D6AFDBA2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33A053C-B2D6-4363-8348-E2B0757B8290}" type="CATEGORYNAME">
                      <a:rPr lang="en-US"/>
                      <a:pPr/>
                      <a:t>[]</a:t>
                    </a:fld>
                    <a:r>
                      <a:rPr lang="en-US" baseline="0"/>
                      <a:t>, </a:t>
                    </a:r>
                  </a:p>
                  <a:p>
                    <a:fld id="{2565CDA0-461D-45C7-9915-B452033601A1}" type="VALUE">
                      <a:rPr lang="en-US" baseline="0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1160-4D39-BB83-2BC5DA5F4E3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23DA641-8733-4414-8A61-56B2734011BB}" type="CATEGORYNAME">
                      <a:rPr lang="en-US"/>
                      <a:pPr/>
                      <a:t>[]</a:t>
                    </a:fld>
                    <a:r>
                      <a:rPr lang="en-US" baseline="0"/>
                      <a:t>,</a:t>
                    </a:r>
                  </a:p>
                  <a:p>
                    <a:r>
                      <a:rPr lang="en-US" baseline="0"/>
                      <a:t> </a:t>
                    </a:r>
                    <a:fld id="{59328283-6111-4B7D-897A-0ED301353B2A}" type="VALU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FD7-467D-989F-DE4D6AFDBA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'Cost analysis - purchase'!$I$2:$O$2</c15:sqref>
                  </c15:fullRef>
                </c:ext>
              </c:extLst>
              <c:f>('Cost analysis - purchase'!$I$2:$M$2,'Cost analysis - purchase'!$O$2)</c:f>
              <c:strCache>
                <c:ptCount val="6"/>
                <c:pt idx="0">
                  <c:v>ICE - Purchase cost</c:v>
                </c:pt>
                <c:pt idx="1">
                  <c:v>ICE - Fuel cost</c:v>
                </c:pt>
                <c:pt idx="2">
                  <c:v>ICE - Carbon tax</c:v>
                </c:pt>
                <c:pt idx="3">
                  <c:v>ICE - Tires &amp; Maintenance cost</c:v>
                </c:pt>
                <c:pt idx="4">
                  <c:v>ICE - salvage value</c:v>
                </c:pt>
                <c:pt idx="5">
                  <c:v>ICE - vehicle insurance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'Cost analysis - purchase'!$I$12:$O$12</c15:sqref>
                  </c15:fullRef>
                </c:ext>
              </c:extLst>
              <c:f>('Cost analysis - purchase'!$I$12:$M$12,'Cost analysis - purchase'!$O$12)</c:f>
              <c:numCache>
                <c:formatCode>_("$"* #,##0.00_);_("$"* \(#,##0.00\);_("$"* "-"??_);_(@_)</c:formatCode>
                <c:ptCount val="6"/>
                <c:pt idx="0">
                  <c:v>54000</c:v>
                </c:pt>
                <c:pt idx="1">
                  <c:v>42408.709489200475</c:v>
                </c:pt>
                <c:pt idx="2">
                  <c:v>0</c:v>
                </c:pt>
                <c:pt idx="3">
                  <c:v>78059.975515872007</c:v>
                </c:pt>
                <c:pt idx="4">
                  <c:v>-17311.162767187503</c:v>
                </c:pt>
                <c:pt idx="5">
                  <c:v>11340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'Cost analysis - purchase'!$N$12</c15:sqref>
                  <c15:spPr xmlns:c15="http://schemas.microsoft.com/office/drawing/2012/chart">
                    <a:solidFill>
                      <a:schemeClr val="accent6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2-BEFF-4615-9C08-E8EDA878B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78"/>
        <c:axId val="1644469904"/>
        <c:axId val="1644470384"/>
      </c:barChart>
      <c:catAx>
        <c:axId val="16444699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44470384"/>
        <c:crosses val="autoZero"/>
        <c:auto val="1"/>
        <c:lblAlgn val="ctr"/>
        <c:lblOffset val="100"/>
        <c:noMultiLvlLbl val="0"/>
      </c:catAx>
      <c:valAx>
        <c:axId val="1644470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.0,&quot;k&quot;;\-&quot;$&quot;#.0,&quot;k&quot;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469904"/>
        <c:crossesAt val="0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600" b="1">
                <a:latin typeface="Poppins" panose="00000500000000000000" pitchFamily="2" charset="0"/>
                <a:cs typeface="Poppins" panose="00000500000000000000" pitchFamily="2" charset="0"/>
              </a:rPr>
              <a:t>EV Vehicle Total Costs &amp; Savings/Revenues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9C8-46B7-9FE0-5AD56557479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9C8-46B7-9FE0-5AD565574794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9C8-46B7-9FE0-5AD565574794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9C8-46B7-9FE0-5AD56557479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1ACA99C8-CA20-4244-8438-9F4A52EA8965}" type="CATEGORYNAME">
                      <a:rPr lang="en-US"/>
                      <a:pPr/>
                      <a:t>[]</a:t>
                    </a:fld>
                    <a:r>
                      <a:rPr lang="en-US" baseline="0"/>
                      <a:t>,</a:t>
                    </a:r>
                  </a:p>
                  <a:p>
                    <a:r>
                      <a:rPr lang="en-US" baseline="0"/>
                      <a:t> </a:t>
                    </a:r>
                    <a:fld id="{7C1D6DCA-678A-494F-ABA1-621D1BF9BCC5}" type="VALU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A-C9C8-46B7-9FE0-5AD565574794}"/>
                </c:ext>
              </c:extLst>
            </c:dLbl>
            <c:dLbl>
              <c:idx val="1"/>
              <c:layout>
                <c:manualLayout>
                  <c:x val="-6.1373263020663817E-3"/>
                  <c:y val="-5.546739938319240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1B41B86-5089-4C61-8584-9F0AF2795FBC}" type="CATEGORYNAME">
                      <a:rPr lang="en-US" sz="1400"/>
                      <a:pPr>
                        <a:defRPr sz="1400"/>
                      </a:pPr>
                      <a:t>[]</a:t>
                    </a:fld>
                    <a:r>
                      <a:rPr lang="en-US" sz="1400" baseline="0"/>
                      <a:t>, </a:t>
                    </a:r>
                  </a:p>
                  <a:p>
                    <a:pPr>
                      <a:defRPr sz="1400"/>
                    </a:pPr>
                    <a:fld id="{EF251765-19A8-49BE-A64E-FE8173DAE521}" type="VALUE">
                      <a:rPr lang="en-US" sz="1400" baseline="0"/>
                      <a:pPr>
                        <a:defRPr sz="1400"/>
                      </a:pPr>
                      <a:t>[]</a:t>
                    </a:fld>
                    <a:endParaRPr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069747460931997"/>
                      <c:h val="8.3588232359413192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C9C8-46B7-9FE0-5AD565574794}"/>
                </c:ext>
              </c:extLst>
            </c:dLbl>
            <c:dLbl>
              <c:idx val="2"/>
              <c:layout>
                <c:manualLayout>
                  <c:x val="-7.2348861638883511E-3"/>
                  <c:y val="-9.1244251729737227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692A987-CCC0-419A-AC8B-1D57F0E1759F}" type="CATEGORYNAME">
                      <a:rPr lang="en-US" sz="1400"/>
                      <a:pPr>
                        <a:defRPr sz="1400"/>
                      </a:pPr>
                      <a:t>[]</a:t>
                    </a:fld>
                    <a:r>
                      <a:rPr lang="en-US" sz="1400" baseline="0"/>
                      <a:t>, </a:t>
                    </a:r>
                  </a:p>
                  <a:p>
                    <a:pPr>
                      <a:defRPr sz="1400"/>
                    </a:pPr>
                    <a:fld id="{251E0A7C-FF63-4CA3-896C-3B69A6C3010A}" type="VALUE">
                      <a:rPr lang="en-US" sz="1400" baseline="0"/>
                      <a:pPr>
                        <a:defRPr sz="1400"/>
                      </a:pPr>
                      <a:t>[]</a:t>
                    </a:fld>
                    <a:endParaRPr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166179401290003"/>
                      <c:h val="9.0237922829196654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C9C8-46B7-9FE0-5AD565574794}"/>
                </c:ext>
              </c:extLst>
            </c:dLbl>
            <c:dLbl>
              <c:idx val="3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171165838312765"/>
                      <c:h val="8.051591077817735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C9C8-46B7-9FE0-5AD565574794}"/>
                </c:ext>
              </c:extLst>
            </c:dLbl>
            <c:dLbl>
              <c:idx val="4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167375886524822"/>
                      <c:h val="8.051591077817735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C9C8-46B7-9FE0-5AD565574794}"/>
                </c:ext>
              </c:extLst>
            </c:dLbl>
            <c:dLbl>
              <c:idx val="5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6357446808510641"/>
                      <c:h val="8.051591077817735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C9C8-46B7-9FE0-5AD565574794}"/>
                </c:ext>
              </c:extLst>
            </c:dLbl>
            <c:dLbl>
              <c:idx val="6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2887943262411349"/>
                      <c:h val="8.051591077817735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C9C8-46B7-9FE0-5AD565574794}"/>
                </c:ext>
              </c:extLst>
            </c:dLbl>
            <c:dLbl>
              <c:idx val="7"/>
              <c:layout>
                <c:manualLayout>
                  <c:x val="9.4562647754137287E-3"/>
                  <c:y val="2.902055254319571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9C8-46B7-9FE0-5AD565574794}"/>
                </c:ext>
              </c:extLst>
            </c:dLbl>
            <c:dLbl>
              <c:idx val="8"/>
              <c:layout>
                <c:manualLayout>
                  <c:x val="9.4562647754137114E-3"/>
                  <c:y val="-2.257154086692997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9C8-46B7-9FE0-5AD5655747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'Cost analysis - purchase'!$S$2:$AB$2</c:f>
              <c:strCache>
                <c:ptCount val="10"/>
                <c:pt idx="0">
                  <c:v>EV - Purchase cost </c:v>
                </c:pt>
                <c:pt idx="1">
                  <c:v>EV - Vehicle + chargers Total rebate</c:v>
                </c:pt>
                <c:pt idx="2">
                  <c:v>EV - CFR/LCFS</c:v>
                </c:pt>
                <c:pt idx="3">
                  <c:v>EV - Charging cost</c:v>
                </c:pt>
                <c:pt idx="4">
                  <c:v>EV - Tires &amp; Maintenance Cost</c:v>
                </c:pt>
                <c:pt idx="5">
                  <c:v>EV - Charging infrastructure cost</c:v>
                </c:pt>
                <c:pt idx="6">
                  <c:v>EV - Charger infrastructure maintenance</c:v>
                </c:pt>
                <c:pt idx="7">
                  <c:v>EV - Salvage value</c:v>
                </c:pt>
                <c:pt idx="8">
                  <c:v>EV - Charger Salvage value</c:v>
                </c:pt>
                <c:pt idx="9">
                  <c:v>EV- vehicle insurance</c:v>
                </c:pt>
              </c:strCache>
            </c:strRef>
          </c:cat>
          <c:val>
            <c:numRef>
              <c:f>'Cost analysis - purchase'!$S$12:$AB$12</c:f>
              <c:numCache>
                <c:formatCode>_("$"* #,##0.00_);_("$"* \(#,##0.00\);_("$"* "-"??_);_(@_)</c:formatCode>
                <c:ptCount val="10"/>
                <c:pt idx="0">
                  <c:v>95833</c:v>
                </c:pt>
                <c:pt idx="1">
                  <c:v>-10000</c:v>
                </c:pt>
                <c:pt idx="2">
                  <c:v>-7757.3391512678236</c:v>
                </c:pt>
                <c:pt idx="3">
                  <c:v>12630.925258273419</c:v>
                </c:pt>
                <c:pt idx="4">
                  <c:v>40145.130265305597</c:v>
                </c:pt>
                <c:pt idx="5">
                  <c:v>15214.071599999999</c:v>
                </c:pt>
                <c:pt idx="6">
                  <c:v>4281.3600479999996</c:v>
                </c:pt>
                <c:pt idx="7">
                  <c:v>-30721.864101257022</c:v>
                </c:pt>
                <c:pt idx="8">
                  <c:v>-1521.4322632181393</c:v>
                </c:pt>
                <c:pt idx="9">
                  <c:v>26833.24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C8-46B7-9FE0-5AD565574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8488464"/>
        <c:axId val="1644479984"/>
      </c:barChart>
      <c:catAx>
        <c:axId val="4884884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44479984"/>
        <c:crosses val="autoZero"/>
        <c:auto val="1"/>
        <c:lblAlgn val="ctr"/>
        <c:lblOffset val="100"/>
        <c:noMultiLvlLbl val="0"/>
      </c:catAx>
      <c:valAx>
        <c:axId val="1644479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.0,&quot;k&quot;;\-&quot;$&quot;#.0,&quot;k&quot;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48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r>
              <a:rPr lang="en-CA" sz="1600" b="1">
                <a:latin typeface="Poppins" panose="00000500000000000000" pitchFamily="2" charset="0"/>
                <a:cs typeface="Poppins" panose="00000500000000000000" pitchFamily="2" charset="0"/>
              </a:rPr>
              <a:t>ICE Vehicle Total Costs &amp; Savings/Revenues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89951576109885"/>
          <c:y val="0.11277837074791332"/>
          <c:w val="0.82849221372221782"/>
          <c:h val="0.8169266557394162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9B1-4169-AD96-ABDF4121C694}"/>
              </c:ext>
            </c:extLst>
          </c:dPt>
          <c:dLbls>
            <c:dLbl>
              <c:idx val="1"/>
              <c:layout>
                <c:manualLayout>
                  <c:x val="0"/>
                  <c:y val="-5.542723829299623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9B1-4169-AD96-ABDF4121C694}"/>
                </c:ext>
              </c:extLst>
            </c:dLbl>
            <c:dLbl>
              <c:idx val="4"/>
              <c:layout>
                <c:manualLayout>
                  <c:x val="0"/>
                  <c:y val="-3.612754064901461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B40-4AB9-8E2F-8CB26A69FC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'Cost analysis - purchase'!$I$20:$P$20</c15:sqref>
                  </c15:fullRef>
                </c:ext>
              </c:extLst>
              <c:f>('Cost analysis - purchase'!$I$20:$N$20,'Cost analysis - purchase'!$P$20)</c:f>
              <c:strCache>
                <c:ptCount val="7"/>
                <c:pt idx="0">
                  <c:v>ICE - Down payment</c:v>
                </c:pt>
                <c:pt idx="1">
                  <c:v>ICE - Annualized monthly payments</c:v>
                </c:pt>
                <c:pt idx="2">
                  <c:v>ICE - Fuel cost</c:v>
                </c:pt>
                <c:pt idx="3">
                  <c:v>ICE - Carbon tax</c:v>
                </c:pt>
                <c:pt idx="4">
                  <c:v>ICE - Tires &amp; Maintenance cost</c:v>
                </c:pt>
                <c:pt idx="5">
                  <c:v>ICE - salvage value</c:v>
                </c:pt>
                <c:pt idx="6">
                  <c:v>ICE - vehicle insurance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'Cost analysis - purchase'!$I$30:$P$30</c15:sqref>
                  </c15:fullRef>
                </c:ext>
              </c:extLst>
              <c:f>('Cost analysis - purchase'!$I$30:$N$30,'Cost analysis - purchase'!$P$30)</c:f>
              <c:numCache>
                <c:formatCode>_("$"* #,##0.00_);_("$"* \(#,##0.00\);_("$"* "-"??_);_(@_)</c:formatCode>
                <c:ptCount val="7"/>
                <c:pt idx="0">
                  <c:v>2700</c:v>
                </c:pt>
                <c:pt idx="1">
                  <c:v>65037.376579250536</c:v>
                </c:pt>
                <c:pt idx="2">
                  <c:v>42408.709489200475</c:v>
                </c:pt>
                <c:pt idx="3">
                  <c:v>0</c:v>
                </c:pt>
                <c:pt idx="4">
                  <c:v>78059.975515872007</c:v>
                </c:pt>
                <c:pt idx="5">
                  <c:v>-18838.61830546875</c:v>
                </c:pt>
                <c:pt idx="6">
                  <c:v>11340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'Cost analysis - purchase'!$O$30</c15:sqref>
                  <c15:spPr xmlns:c15="http://schemas.microsoft.com/office/drawing/2012/chart">
                    <a:solidFill>
                      <a:schemeClr val="accent6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4-49B1-4169-AD96-ABDF4121C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78"/>
        <c:axId val="1644469904"/>
        <c:axId val="1644470384"/>
      </c:barChart>
      <c:catAx>
        <c:axId val="16444699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44470384"/>
        <c:crosses val="autoZero"/>
        <c:auto val="1"/>
        <c:lblAlgn val="ctr"/>
        <c:lblOffset val="100"/>
        <c:noMultiLvlLbl val="0"/>
      </c:catAx>
      <c:valAx>
        <c:axId val="1644470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.0,&quot;k&quot;;\-&quot;$&quot;#.0,&quot;k&quot;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469904"/>
        <c:crossesAt val="0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600" b="1">
                <a:latin typeface="Poppins" panose="00000500000000000000" pitchFamily="2" charset="0"/>
                <a:cs typeface="Poppins" panose="00000500000000000000" pitchFamily="2" charset="0"/>
              </a:rPr>
              <a:t>EV Vehicle Total Costs &amp; Savings/Revenues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20C-4260-9ACD-A14CF2A7E47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20C-4260-9ACD-A14CF2A7E47A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20C-4260-9ACD-A14CF2A7E47A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B20C-4260-9ACD-A14CF2A7E47A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951-4B58-B2EA-9FDF06EFED8A}"/>
              </c:ext>
            </c:extLst>
          </c:dPt>
          <c:dLbls>
            <c:dLbl>
              <c:idx val="1"/>
              <c:layout>
                <c:manualLayout>
                  <c:x val="-1.3531499839965048E-3"/>
                  <c:y val="-5.529955254775875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20C-4260-9ACD-A14CF2A7E47A}"/>
                </c:ext>
              </c:extLst>
            </c:dLbl>
            <c:dLbl>
              <c:idx val="2"/>
              <c:layout>
                <c:manualLayout>
                  <c:x val="-1.1473752964767253E-3"/>
                  <c:y val="6.52812406652663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20C-4260-9ACD-A14CF2A7E47A}"/>
                </c:ext>
              </c:extLst>
            </c:dLbl>
            <c:dLbl>
              <c:idx val="3"/>
              <c:layout>
                <c:manualLayout>
                  <c:x val="-1.3232871181385414E-2"/>
                  <c:y val="-7.350708788280127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20C-4260-9ACD-A14CF2A7E47A}"/>
                </c:ext>
              </c:extLst>
            </c:dLbl>
            <c:dLbl>
              <c:idx val="5"/>
              <c:layout>
                <c:manualLayout>
                  <c:x val="-4.1630784399746117E-8"/>
                  <c:y val="3.854757578675464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29825197005424"/>
                      <c:h val="7.671276817319645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B20C-4260-9ACD-A14CF2A7E47A}"/>
                </c:ext>
              </c:extLst>
            </c:dLbl>
            <c:dLbl>
              <c:idx val="6"/>
              <c:layout>
                <c:manualLayout>
                  <c:x val="-1.5508675724173381E-16"/>
                  <c:y val="-5.316894553736273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842276111514884"/>
                      <c:h val="0.1123117629081348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B20C-4260-9ACD-A14CF2A7E47A}"/>
                </c:ext>
              </c:extLst>
            </c:dLbl>
            <c:dLbl>
              <c:idx val="8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188440546118052"/>
                      <c:h val="7.671276817319645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B20C-4260-9ACD-A14CF2A7E47A}"/>
                </c:ext>
              </c:extLst>
            </c:dLbl>
            <c:dLbl>
              <c:idx val="9"/>
              <c:layout>
                <c:manualLayout>
                  <c:x val="-9.9246533860390604E-3"/>
                  <c:y val="-6.548813284104107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20C-4260-9ACD-A14CF2A7E47A}"/>
                </c:ext>
              </c:extLst>
            </c:dLbl>
            <c:dLbl>
              <c:idx val="10"/>
              <c:layout>
                <c:manualLayout>
                  <c:x val="1.1469747564403112E-2"/>
                  <c:y val="3.0721973637643754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951-4B58-B2EA-9FDF06EFED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'Cost analysis - purchase'!$T$20:$AE$20</c:f>
              <c:strCache>
                <c:ptCount val="12"/>
                <c:pt idx="0">
                  <c:v>EV - Down Payment</c:v>
                </c:pt>
                <c:pt idx="1">
                  <c:v>EV - Annualized monthly payments</c:v>
                </c:pt>
                <c:pt idx="2">
                  <c:v>EV - Vehicle Rebate</c:v>
                </c:pt>
                <c:pt idx="3">
                  <c:v>EV - CFR/LCFS</c:v>
                </c:pt>
                <c:pt idx="4">
                  <c:v>EV - Charging cost</c:v>
                </c:pt>
                <c:pt idx="5">
                  <c:v>EV - Tires &amp; Maintenance Cost</c:v>
                </c:pt>
                <c:pt idx="6">
                  <c:v>EV - Charging infrastructure cost</c:v>
                </c:pt>
                <c:pt idx="7">
                  <c:v>EV - Charging infrastructure Rebate</c:v>
                </c:pt>
                <c:pt idx="8">
                  <c:v>EV - Charger infrastructure maintenance</c:v>
                </c:pt>
                <c:pt idx="9">
                  <c:v>EV - Salvage value</c:v>
                </c:pt>
                <c:pt idx="10">
                  <c:v>EV - Charger Salvage value</c:v>
                </c:pt>
                <c:pt idx="11">
                  <c:v>EV- vehicle insurance</c:v>
                </c:pt>
              </c:strCache>
            </c:strRef>
          </c:cat>
          <c:val>
            <c:numRef>
              <c:f>'Cost analysis - purchase'!$T$30:$AE$30</c:f>
              <c:numCache>
                <c:formatCode>_("$"* #,##0.00_);_("$"* \(#,##0.00\);_("$"* "-"??_);_(@_)</c:formatCode>
                <c:ptCount val="12"/>
                <c:pt idx="0">
                  <c:v>4791.6500000000005</c:v>
                </c:pt>
                <c:pt idx="1">
                  <c:v>102743.0175134668</c:v>
                </c:pt>
                <c:pt idx="2">
                  <c:v>-10000</c:v>
                </c:pt>
                <c:pt idx="3">
                  <c:v>-7757.3391512678236</c:v>
                </c:pt>
                <c:pt idx="4">
                  <c:v>12630.925258273419</c:v>
                </c:pt>
                <c:pt idx="5">
                  <c:v>40145.130265305597</c:v>
                </c:pt>
                <c:pt idx="6">
                  <c:v>15214.071599999999</c:v>
                </c:pt>
                <c:pt idx="7">
                  <c:v>0</c:v>
                </c:pt>
                <c:pt idx="8">
                  <c:v>4281.3600479999996</c:v>
                </c:pt>
                <c:pt idx="9">
                  <c:v>-33432.616816073831</c:v>
                </c:pt>
                <c:pt idx="10">
                  <c:v>-1521.4322632181393</c:v>
                </c:pt>
                <c:pt idx="11">
                  <c:v>26833.24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20C-4260-9ACD-A14CF2A7E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8488464"/>
        <c:axId val="1644479984"/>
      </c:barChart>
      <c:catAx>
        <c:axId val="4884884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44479984"/>
        <c:crosses val="autoZero"/>
        <c:auto val="1"/>
        <c:lblAlgn val="ctr"/>
        <c:lblOffset val="100"/>
        <c:noMultiLvlLbl val="0"/>
      </c:catAx>
      <c:valAx>
        <c:axId val="1644479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.0,&quot;k&quot;;\-&quot;$&quot;#.0,&quot;k&quot;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48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r>
              <a:rPr lang="en-CA" sz="1600" b="1">
                <a:latin typeface="Poppins" panose="00000500000000000000" pitchFamily="2" charset="0"/>
                <a:cs typeface="Poppins" panose="00000500000000000000" pitchFamily="2" charset="0"/>
              </a:rPr>
              <a:t>ICE Vehicle Total Costs &amp; Savings/Revenues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89951576109885"/>
          <c:y val="0.11277837074791332"/>
          <c:w val="0.82849221372221782"/>
          <c:h val="0.8169266557394162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5EA-4374-BC43-23A08C18F150}"/>
              </c:ext>
            </c:extLst>
          </c:dPt>
          <c:dLbls>
            <c:dLbl>
              <c:idx val="1"/>
              <c:layout>
                <c:manualLayout>
                  <c:x val="1.3910343245934364E-2"/>
                  <c:y val="9.3862608558948346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5EA-4374-BC43-23A08C18F150}"/>
                </c:ext>
              </c:extLst>
            </c:dLbl>
            <c:dLbl>
              <c:idx val="4"/>
              <c:layout>
                <c:manualLayout>
                  <c:x val="-8.5602112282673008E-3"/>
                  <c:y val="-3.541809830737847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389-445F-A088-9B2C0EA9C1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'Cost analysis - purchase'!$I$37:$P$37</c15:sqref>
                  </c15:fullRef>
                </c:ext>
              </c:extLst>
              <c:f>('Cost analysis - purchase'!$I$37:$N$37,'Cost analysis - purchase'!$P$37)</c:f>
              <c:strCache>
                <c:ptCount val="7"/>
                <c:pt idx="0">
                  <c:v>ICE - Down payment</c:v>
                </c:pt>
                <c:pt idx="1">
                  <c:v>ICE - Annualized monthly payments</c:v>
                </c:pt>
                <c:pt idx="2">
                  <c:v>ICE - Fuel cost</c:v>
                </c:pt>
                <c:pt idx="3">
                  <c:v>ICE - Carbon tax</c:v>
                </c:pt>
                <c:pt idx="4">
                  <c:v>ICE - Tires &amp; Maintenance cost</c:v>
                </c:pt>
                <c:pt idx="5">
                  <c:v>ICE - salvage value</c:v>
                </c:pt>
                <c:pt idx="6">
                  <c:v>ICE - vehicle insurance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'Cost analysis - purchase'!$I$47:$P$47</c15:sqref>
                  </c15:fullRef>
                </c:ext>
              </c:extLst>
              <c:f>('Cost analysis - purchase'!$I$47:$N$47,'Cost analysis - purchase'!$P$47)</c:f>
              <c:numCache>
                <c:formatCode>_("$"* #,##0.00_);_("$"* \(#,##0.00\);_("$"* "-"??_);_(@_)</c:formatCode>
                <c:ptCount val="7"/>
                <c:pt idx="0">
                  <c:v>2700</c:v>
                </c:pt>
                <c:pt idx="1">
                  <c:v>65037.376579250536</c:v>
                </c:pt>
                <c:pt idx="2">
                  <c:v>42408.709489200475</c:v>
                </c:pt>
                <c:pt idx="3">
                  <c:v>0</c:v>
                </c:pt>
                <c:pt idx="4">
                  <c:v>78059.975515872007</c:v>
                </c:pt>
                <c:pt idx="5">
                  <c:v>-17311.162767187503</c:v>
                </c:pt>
                <c:pt idx="6">
                  <c:v>11340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'Cost analysis - purchase'!$O$47</c15:sqref>
                  <c15:spPr xmlns:c15="http://schemas.microsoft.com/office/drawing/2012/chart">
                    <a:solidFill>
                      <a:schemeClr val="accent6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5-05EA-4374-BC43-23A08C18F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78"/>
        <c:axId val="1644469904"/>
        <c:axId val="1644470384"/>
      </c:barChart>
      <c:catAx>
        <c:axId val="16444699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44470384"/>
        <c:crosses val="autoZero"/>
        <c:auto val="1"/>
        <c:lblAlgn val="ctr"/>
        <c:lblOffset val="100"/>
        <c:noMultiLvlLbl val="0"/>
      </c:catAx>
      <c:valAx>
        <c:axId val="1644470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.0,&quot;k&quot;;\-&quot;$&quot;#.0,&quot;k&quot;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469904"/>
        <c:crossesAt val="0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600" b="1">
                <a:latin typeface="Poppins" panose="00000500000000000000" pitchFamily="2" charset="0"/>
                <a:cs typeface="Poppins" panose="00000500000000000000" pitchFamily="2" charset="0"/>
              </a:rPr>
              <a:t>EV Vehicle Total Costs &amp; Savings/Revenues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264-4B5C-8214-AC2F876A684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264-4B5C-8214-AC2F876A684C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264-4B5C-8214-AC2F876A684C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264-4B5C-8214-AC2F876A684C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C86-4427-BA7F-E52B497A602C}"/>
              </c:ext>
            </c:extLst>
          </c:dPt>
          <c:dLbls>
            <c:dLbl>
              <c:idx val="1"/>
              <c:layout>
                <c:manualLayout>
                  <c:x val="-1.0693508539907918E-16"/>
                  <c:y val="-6.144394727528751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264-4B5C-8214-AC2F876A684C}"/>
                </c:ext>
              </c:extLst>
            </c:dLbl>
            <c:dLbl>
              <c:idx val="2"/>
              <c:layout>
                <c:manualLayout>
                  <c:x val="-2.7614627585058945E-3"/>
                  <c:y val="4.058940006201267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264-4B5C-8214-AC2F876A684C}"/>
                </c:ext>
              </c:extLst>
            </c:dLbl>
            <c:dLbl>
              <c:idx val="3"/>
              <c:layout>
                <c:manualLayout>
                  <c:x val="-1.6412662407817701E-2"/>
                  <c:y val="-7.162358422697355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264-4B5C-8214-AC2F876A684C}"/>
                </c:ext>
              </c:extLst>
            </c:dLbl>
            <c:dLbl>
              <c:idx val="6"/>
              <c:layout>
                <c:manualLayout>
                  <c:x val="3.5303769505882245E-2"/>
                  <c:y val="2.609857670391018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851901194973197"/>
                      <c:h val="7.671276817319645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1264-4B5C-8214-AC2F876A684C}"/>
                </c:ext>
              </c:extLst>
            </c:dLbl>
            <c:dLbl>
              <c:idx val="8"/>
              <c:layout>
                <c:manualLayout>
                  <c:x val="-3.2825324815635398E-3"/>
                  <c:y val="-5.5209846174958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264-4B5C-8214-AC2F876A68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'Cost analysis - purchase'!$T$37:$AE$37</c15:sqref>
                  </c15:fullRef>
                </c:ext>
              </c:extLst>
              <c:f>('Cost analysis - purchase'!$T$37:$AA$37,'Cost analysis - purchase'!$AC$37:$AE$37)</c:f>
              <c:strCache>
                <c:ptCount val="11"/>
                <c:pt idx="0">
                  <c:v>EV - Down Payment</c:v>
                </c:pt>
                <c:pt idx="1">
                  <c:v>EV - Annualized monthly payments</c:v>
                </c:pt>
                <c:pt idx="2">
                  <c:v>EV - Vehicle Rebate</c:v>
                </c:pt>
                <c:pt idx="3">
                  <c:v>EV - CFR/LCFS</c:v>
                </c:pt>
                <c:pt idx="4">
                  <c:v>EV - Charging cost</c:v>
                </c:pt>
                <c:pt idx="5">
                  <c:v>EV - Tires &amp; Maintenance Cost</c:v>
                </c:pt>
                <c:pt idx="6">
                  <c:v>EV - Charging as a service</c:v>
                </c:pt>
                <c:pt idx="7">
                  <c:v>EV - Charging Infrastructure Rebate</c:v>
                </c:pt>
                <c:pt idx="8">
                  <c:v>EV - Vehicle Salvage value</c:v>
                </c:pt>
                <c:pt idx="9">
                  <c:v>EV - Charger Salvage value</c:v>
                </c:pt>
                <c:pt idx="10">
                  <c:v>EV- vehicle insurance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'Cost analysis - purchase'!$T$47:$AE$47</c15:sqref>
                  </c15:fullRef>
                </c:ext>
              </c:extLst>
              <c:f>('Cost analysis - purchase'!$T$47:$AA$47,'Cost analysis - purchase'!$AC$47:$AE$47)</c:f>
              <c:numCache>
                <c:formatCode>_("$"* #,##0.00_);_("$"* \(#,##0.00\);_("$"* "-"??_);_(@_)</c:formatCode>
                <c:ptCount val="11"/>
                <c:pt idx="0">
                  <c:v>4791.6500000000005</c:v>
                </c:pt>
                <c:pt idx="1">
                  <c:v>102743.0175134668</c:v>
                </c:pt>
                <c:pt idx="2">
                  <c:v>-10000</c:v>
                </c:pt>
                <c:pt idx="3">
                  <c:v>-7757.3391512678236</c:v>
                </c:pt>
                <c:pt idx="4">
                  <c:v>12630.925258273419</c:v>
                </c:pt>
                <c:pt idx="5">
                  <c:v>40145.130265305597</c:v>
                </c:pt>
                <c:pt idx="6">
                  <c:v>27385.328879999997</c:v>
                </c:pt>
                <c:pt idx="7">
                  <c:v>0</c:v>
                </c:pt>
                <c:pt idx="8">
                  <c:v>-33432.616816073831</c:v>
                </c:pt>
                <c:pt idx="9">
                  <c:v>-1521.4322632181393</c:v>
                </c:pt>
                <c:pt idx="10">
                  <c:v>26833.24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'Cost analysis - purchase'!$AB$47</c15:sqref>
                  <c15:dLbl>
                    <c:idx val="7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>
                        <c15:layout>
                          <c:manualLayout>
                            <c:w val="0.30589134542617014"/>
                            <c:h val="7.6712768173196458E-2"/>
                          </c:manualLayout>
                        </c15:layout>
                      </c:ext>
                      <c:ext xmlns:c16="http://schemas.microsoft.com/office/drawing/2014/chart" uri="{C3380CC4-5D6E-409C-BE32-E72D297353CC}">
                        <c16:uniqueId val="{0000000A-091B-4776-AAF4-C48F44AB9FFA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C-1264-4B5C-8214-AC2F876A6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8488464"/>
        <c:axId val="1644479984"/>
      </c:barChart>
      <c:catAx>
        <c:axId val="4884884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44479984"/>
        <c:crosses val="autoZero"/>
        <c:auto val="1"/>
        <c:lblAlgn val="ctr"/>
        <c:lblOffset val="100"/>
        <c:noMultiLvlLbl val="0"/>
      </c:catAx>
      <c:valAx>
        <c:axId val="1644479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.0,&quot;k&quot;;\-&quot;$&quot;#.0,&quot;k&quot;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48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CA"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r>
              <a:rPr lang="en-CA"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rPr>
              <a:t>Annual Total Costs Projection - ICE vs EV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CA" sz="16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836824470605233E-2"/>
          <c:y val="8.7373770220414343E-2"/>
          <c:w val="0.91434169223076112"/>
          <c:h val="0.7262732357392867"/>
        </c:manualLayout>
      </c:layout>
      <c:areaChart>
        <c:grouping val="stacked"/>
        <c:varyColors val="0"/>
        <c:ser>
          <c:idx val="2"/>
          <c:order val="2"/>
          <c:tx>
            <c:v>Area</c:v>
          </c:tx>
          <c:spPr>
            <a:noFill/>
            <a:ln>
              <a:noFill/>
            </a:ln>
            <a:effectLst/>
          </c:spPr>
          <c:cat>
            <c:strLit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Salvage year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'Cost analysis - purchase'!$AD$3:$AD$13</c15:sqref>
                  </c15:fullRef>
                </c:ext>
              </c:extLst>
              <c:f>'Cost analysis - purchase'!$AD$4:$AD$11</c:f>
              <c:numCache>
                <c:formatCode>_("$"* #,##0.00_);_("$"* \(#,##0.00\);_("$"* "-"??_);_(@_)</c:formatCode>
                <c:ptCount val="8"/>
                <c:pt idx="0">
                  <c:v>110717.03166064</c:v>
                </c:pt>
                <c:pt idx="1">
                  <c:v>120691.09130554881</c:v>
                </c:pt>
                <c:pt idx="2">
                  <c:v>130961.2439407849</c:v>
                </c:pt>
                <c:pt idx="3">
                  <c:v>141520.5026931061</c:v>
                </c:pt>
                <c:pt idx="4">
                  <c:v>152362.82804810914</c:v>
                </c:pt>
                <c:pt idx="5">
                  <c:v>164682.81318185045</c:v>
                </c:pt>
                <c:pt idx="6">
                  <c:v>177180.38802031119</c:v>
                </c:pt>
                <c:pt idx="7">
                  <c:v>144937.09165583603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54-4701-BDBB-D36D56AC5CA1}"/>
            </c:ext>
          </c:extLst>
        </c:ser>
        <c:ser>
          <c:idx val="3"/>
          <c:order val="3"/>
          <c:tx>
            <c:strRef>
              <c:f>'Cost analysis - purchase'!$AH$2</c:f>
              <c:strCache>
                <c:ptCount val="1"/>
                <c:pt idx="0">
                  <c:v>Cumulative Savings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strLit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Salvage year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'Cost analysis - purchase'!$AH$3:$AH$13</c15:sqref>
                  </c15:fullRef>
                </c:ext>
              </c:extLst>
              <c:f>'Cost analysis - purchase'!$AH$4:$AH$11</c:f>
              <c:numCache>
                <c:formatCode>_-"$"* #,##0.00_-;\-"$"* #,##0.00_-;_-"$"* "-"??_-;_-@_-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701.10406432146556</c:v>
                </c:pt>
                <c:pt idx="6">
                  <c:v>8628.2969847613131</c:v>
                </c:pt>
                <c:pt idx="7">
                  <c:v>23560.430582048954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B54-4701-BDBB-D36D56AC5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1213424"/>
        <c:axId val="691214864"/>
      </c:areaChart>
      <c:lineChart>
        <c:grouping val="standard"/>
        <c:varyColors val="0"/>
        <c:ser>
          <c:idx val="0"/>
          <c:order val="0"/>
          <c:tx>
            <c:strRef>
              <c:f>'Cost analysis - purchase'!$Q$2</c:f>
              <c:strCache>
                <c:ptCount val="1"/>
                <c:pt idx="0">
                  <c:v>ICE - Cumulative Total Cost</c:v>
                </c:pt>
              </c:strCache>
            </c:strRef>
          </c:tx>
          <c:spPr>
            <a:ln w="28575" cap="rnd">
              <a:solidFill>
                <a:schemeClr val="bg2">
                  <a:lumMod val="9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layout>
                <c:manualLayout>
                  <c:x val="-1.1539017871485507E-3"/>
                  <c:y val="-7.75194113896158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5D4-4119-8925-C6E833C0C3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'Cost analysis - purchase'!$H$3:$H$13</c15:sqref>
                  </c15:fullRef>
                </c:ext>
              </c:extLst>
              <c:f>'Cost analysis - purchase'!$H$4:$H$11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Salvage year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'Cost analysis - purchase'!$Q$3:$Q$13</c15:sqref>
                  </c15:fullRef>
                </c:ext>
              </c:extLst>
              <c:f>'Cost analysis - purchase'!$Q$4:$Q$11</c:f>
              <c:numCache>
                <c:formatCode>_("$"* #,##0.00_);_("$"* \(#,##0.00\);_("$"* "-"??_);_(@_)</c:formatCode>
                <c:ptCount val="8"/>
                <c:pt idx="0">
                  <c:v>71328.63</c:v>
                </c:pt>
                <c:pt idx="1">
                  <c:v>89127.691500000001</c:v>
                </c:pt>
                <c:pt idx="2">
                  <c:v>107414.40607500001</c:v>
                </c:pt>
                <c:pt idx="3">
                  <c:v>126206.73037875001</c:v>
                </c:pt>
                <c:pt idx="4">
                  <c:v>145523.39037768752</c:v>
                </c:pt>
                <c:pt idx="5">
                  <c:v>165383.91724617191</c:v>
                </c:pt>
                <c:pt idx="6">
                  <c:v>185808.6850050725</c:v>
                </c:pt>
                <c:pt idx="7">
                  <c:v>168497.52223788499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54-4701-BDBB-D36D56AC5CA1}"/>
            </c:ext>
          </c:extLst>
        </c:ser>
        <c:ser>
          <c:idx val="1"/>
          <c:order val="1"/>
          <c:tx>
            <c:strRef>
              <c:f>'Cost analysis - purchase'!$AD$2</c:f>
              <c:strCache>
                <c:ptCount val="1"/>
                <c:pt idx="0">
                  <c:v>EV - Cumulative Total Cost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layout>
                <c:manualLayout>
                  <c:x val="-1.0069151283923824E-2"/>
                  <c:y val="8.42688759578857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0FD-4BF5-AD28-671C55E298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'Cost analysis - purchase'!$H$3:$H$13</c15:sqref>
                  </c15:fullRef>
                </c:ext>
              </c:extLst>
              <c:f>'Cost analysis - purchase'!$H$4:$H$11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Salvage year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'Cost analysis - purchase'!$AD$3:$AD$13</c15:sqref>
                  </c15:fullRef>
                </c:ext>
              </c:extLst>
              <c:f>'Cost analysis - purchase'!$AD$4:$AD$11</c:f>
              <c:numCache>
                <c:formatCode>_("$"* #,##0.00_);_("$"* \(#,##0.00\);_("$"* "-"??_);_(@_)</c:formatCode>
                <c:ptCount val="8"/>
                <c:pt idx="0">
                  <c:v>110717.03166064</c:v>
                </c:pt>
                <c:pt idx="1">
                  <c:v>120691.09130554881</c:v>
                </c:pt>
                <c:pt idx="2">
                  <c:v>130961.2439407849</c:v>
                </c:pt>
                <c:pt idx="3">
                  <c:v>141520.5026931061</c:v>
                </c:pt>
                <c:pt idx="4">
                  <c:v>152362.82804810914</c:v>
                </c:pt>
                <c:pt idx="5">
                  <c:v>164682.81318185045</c:v>
                </c:pt>
                <c:pt idx="6">
                  <c:v>177180.38802031119</c:v>
                </c:pt>
                <c:pt idx="7">
                  <c:v>144937.09165583603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54-4701-BDBB-D36D56AC5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1213424"/>
        <c:axId val="691214864"/>
      </c:lineChart>
      <c:catAx>
        <c:axId val="69121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214864"/>
        <c:crosses val="autoZero"/>
        <c:auto val="1"/>
        <c:lblAlgn val="ctr"/>
        <c:lblOffset val="100"/>
        <c:noMultiLvlLbl val="0"/>
      </c:catAx>
      <c:valAx>
        <c:axId val="69121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21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600" b="1">
                <a:latin typeface="Poppins" panose="00000500000000000000" pitchFamily="2" charset="0"/>
                <a:cs typeface="Poppins" panose="00000500000000000000" pitchFamily="2" charset="0"/>
              </a:rPr>
              <a:t>Total</a:t>
            </a:r>
            <a:r>
              <a:rPr lang="en-CA" sz="1600" b="1" baseline="0">
                <a:latin typeface="Poppins" panose="00000500000000000000" pitchFamily="2" charset="0"/>
                <a:cs typeface="Poppins" panose="00000500000000000000" pitchFamily="2" charset="0"/>
              </a:rPr>
              <a:t> Cost of Ownership - ICE vs EV</a:t>
            </a:r>
            <a:endParaRPr lang="en-CA" sz="1600" b="1">
              <a:latin typeface="Poppins" panose="00000500000000000000" pitchFamily="2" charset="0"/>
              <a:cs typeface="Poppins" panose="00000500000000000000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6C4-4165-9783-613400248EC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ICE - Total Cost</c:v>
              </c:pt>
              <c:pt idx="1">
                <c:v>EV - Total Cost</c:v>
              </c:pt>
            </c:strLit>
          </c:cat>
          <c:val>
            <c:numRef>
              <c:f>('Cost analysis - purchase'!$Q$30,'Cost analysis - purchase'!$AF$30)</c:f>
              <c:numCache>
                <c:formatCode>_("$"* #,##0.00_);_("$"* \(#,##0.00\);_("$"* "-"??_);_(@_)</c:formatCode>
                <c:ptCount val="2"/>
                <c:pt idx="0">
                  <c:v>180707.44327885425</c:v>
                </c:pt>
                <c:pt idx="1">
                  <c:v>163928.00645448599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C4-4165-9783-613400248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473584"/>
        <c:axId val="488460624"/>
      </c:barChart>
      <c:catAx>
        <c:axId val="48847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460624"/>
        <c:crosses val="autoZero"/>
        <c:auto val="1"/>
        <c:lblAlgn val="ctr"/>
        <c:lblOffset val="100"/>
        <c:noMultiLvlLbl val="0"/>
      </c:catAx>
      <c:valAx>
        <c:axId val="4884606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473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CA"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r>
              <a:rPr lang="en-CA"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rPr>
              <a:t>Annual Total Costs Projection - ICE vs EV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CA" sz="16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2"/>
          <c:order val="2"/>
          <c:tx>
            <c:v>Area</c:v>
          </c:tx>
          <c:spPr>
            <a:noFill/>
            <a:ln w="25400">
              <a:noFill/>
            </a:ln>
            <a:effectLst/>
          </c:spPr>
          <c:cat>
            <c:strLit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Salvage year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'Cost analysis - purchase'!$AG$21:$AG$29</c15:sqref>
                  </c15:fullRef>
                </c:ext>
              </c:extLst>
              <c:f>'Cost analysis - purchase'!$AG$22:$AG$29</c:f>
              <c:numCache>
                <c:formatCode>_("$"* #,##0.00_);_("$"* \(#,##0.00\);_("$"* "-"??_);_(@_)</c:formatCode>
                <c:ptCount val="8"/>
                <c:pt idx="0">
                  <c:v>44353.255591135254</c:v>
                </c:pt>
                <c:pt idx="1">
                  <c:v>69004.889166539302</c:v>
                </c:pt>
                <c:pt idx="2">
                  <c:v>93952.615732270657</c:v>
                </c:pt>
                <c:pt idx="3">
                  <c:v>119189.44841508713</c:v>
                </c:pt>
                <c:pt idx="4">
                  <c:v>144709.34770058541</c:v>
                </c:pt>
                <c:pt idx="5">
                  <c:v>171706.90676482196</c:v>
                </c:pt>
                <c:pt idx="6">
                  <c:v>198882.05553377795</c:v>
                </c:pt>
                <c:pt idx="7">
                  <c:v>163928.00645448599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FF-49CC-B242-96AE1769D2B6}"/>
            </c:ext>
          </c:extLst>
        </c:ser>
        <c:ser>
          <c:idx val="3"/>
          <c:order val="3"/>
          <c:tx>
            <c:strRef>
              <c:f>'Cost analysis - purchase'!$AM$20</c:f>
              <c:strCache>
                <c:ptCount val="1"/>
                <c:pt idx="0">
                  <c:v>Cumulative Savings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strLit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Salvage year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'Cost analysis - purchase'!$AM$21:$AM$29</c15:sqref>
                  </c15:fullRef>
                </c:ext>
              </c:extLst>
              <c:f>'Cost analysis - purchase'!$AM$22:$AM$29</c:f>
              <c:numCache>
                <c:formatCode>_-"$"* #,##0.00_-;\-"$"* #,##0.00_-;_-"$"* "-"??_-;_-@_-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664.00605054505286</c:v>
                </c:pt>
                <c:pt idx="7">
                  <c:v>16779.436824368255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FF-49CC-B242-96AE1769D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1213424"/>
        <c:axId val="691214864"/>
      </c:areaChart>
      <c:lineChart>
        <c:grouping val="standard"/>
        <c:varyColors val="0"/>
        <c:ser>
          <c:idx val="0"/>
          <c:order val="0"/>
          <c:tx>
            <c:strRef>
              <c:f>'Cost analysis - purchase'!$R$20</c:f>
              <c:strCache>
                <c:ptCount val="1"/>
                <c:pt idx="0">
                  <c:v>ICE - Cumulative Total Cost</c:v>
                </c:pt>
              </c:strCache>
            </c:strRef>
          </c:tx>
          <c:spPr>
            <a:ln w="28575" cap="rnd">
              <a:solidFill>
                <a:schemeClr val="bg2">
                  <a:lumMod val="9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layout>
                <c:manualLayout>
                  <c:x val="-1.1012074437069418E-16"/>
                  <c:y val="-0.1070043053473187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FC0-4EC1-AB93-720B324D3B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'Cost analysis - purchase'!$H$3:$H$13</c15:sqref>
                  </c15:fullRef>
                </c:ext>
              </c:extLst>
              <c:f>'Cost analysis - purchase'!$H$4:$H$13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Salvage year</c:v>
                </c:pt>
                <c:pt idx="8">
                  <c:v>Total Cost</c:v>
                </c:pt>
                <c:pt idx="9">
                  <c:v>Total PV cost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'Cost analysis - purchase'!$R$21:$R$29</c15:sqref>
                  </c15:fullRef>
                </c:ext>
              </c:extLst>
              <c:f>'Cost analysis - purchase'!$R$22:$R$29</c:f>
              <c:numCache>
                <c:formatCode>_("$"* #,##0.00_);_("$"* \(#,##0.00\);_("$"* "-"??_);_(@_)</c:formatCode>
                <c:ptCount val="8"/>
                <c:pt idx="0">
                  <c:v>29319.683797035792</c:v>
                </c:pt>
                <c:pt idx="1">
                  <c:v>56409.799094071583</c:v>
                </c:pt>
                <c:pt idx="2">
                  <c:v>83987.567466107372</c:v>
                </c:pt>
                <c:pt idx="3">
                  <c:v>112070.94556689316</c:v>
                </c:pt>
                <c:pt idx="4">
                  <c:v>140678.65936286646</c:v>
                </c:pt>
                <c:pt idx="5">
                  <c:v>169830.24002838662</c:v>
                </c:pt>
                <c:pt idx="6">
                  <c:v>199546.061584323</c:v>
                </c:pt>
                <c:pt idx="7">
                  <c:v>180707.44327885425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FF-49CC-B242-96AE1769D2B6}"/>
            </c:ext>
          </c:extLst>
        </c:ser>
        <c:ser>
          <c:idx val="1"/>
          <c:order val="1"/>
          <c:tx>
            <c:strRef>
              <c:f>'Cost analysis - purchase'!$AG$20</c:f>
              <c:strCache>
                <c:ptCount val="1"/>
                <c:pt idx="0">
                  <c:v>EV - Cumulative Total Cost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layout>
                <c:manualLayout>
                  <c:x val="-1.3636349393667743E-2"/>
                  <c:y val="0.11510084243847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D90-4A0A-A4F0-378E200C64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'Cost analysis - purchase'!$H$3:$H$13</c15:sqref>
                  </c15:fullRef>
                </c:ext>
              </c:extLst>
              <c:f>'Cost analysis - purchase'!$H$4:$H$13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Salvage year</c:v>
                </c:pt>
                <c:pt idx="8">
                  <c:v>Total Cost</c:v>
                </c:pt>
                <c:pt idx="9">
                  <c:v>Total PV cost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'Cost analysis - purchase'!$AG$21:$AG$29</c15:sqref>
                  </c15:fullRef>
                </c:ext>
              </c:extLst>
              <c:f>'Cost analysis - purchase'!$AG$22:$AG$29</c:f>
              <c:numCache>
                <c:formatCode>_("$"* #,##0.00_);_("$"* \(#,##0.00\);_("$"* "-"??_);_(@_)</c:formatCode>
                <c:ptCount val="8"/>
                <c:pt idx="0">
                  <c:v>44353.255591135254</c:v>
                </c:pt>
                <c:pt idx="1">
                  <c:v>69004.889166539302</c:v>
                </c:pt>
                <c:pt idx="2">
                  <c:v>93952.615732270657</c:v>
                </c:pt>
                <c:pt idx="3">
                  <c:v>119189.44841508713</c:v>
                </c:pt>
                <c:pt idx="4">
                  <c:v>144709.34770058541</c:v>
                </c:pt>
                <c:pt idx="5">
                  <c:v>171706.90676482196</c:v>
                </c:pt>
                <c:pt idx="6">
                  <c:v>198882.05553377795</c:v>
                </c:pt>
                <c:pt idx="7">
                  <c:v>163928.00645448599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9FF-49CC-B242-96AE1769D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1213424"/>
        <c:axId val="691214864"/>
      </c:lineChart>
      <c:catAx>
        <c:axId val="69121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214864"/>
        <c:crosses val="autoZero"/>
        <c:auto val="1"/>
        <c:lblAlgn val="ctr"/>
        <c:lblOffset val="100"/>
        <c:noMultiLvlLbl val="0"/>
      </c:catAx>
      <c:valAx>
        <c:axId val="69121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21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600" b="1">
                <a:latin typeface="Poppins" panose="00000500000000000000" pitchFamily="2" charset="0"/>
                <a:cs typeface="Poppins" panose="00000500000000000000" pitchFamily="2" charset="0"/>
              </a:rPr>
              <a:t>Total</a:t>
            </a:r>
            <a:r>
              <a:rPr lang="en-CA" sz="1600" b="1" baseline="0">
                <a:latin typeface="Poppins" panose="00000500000000000000" pitchFamily="2" charset="0"/>
                <a:cs typeface="Poppins" panose="00000500000000000000" pitchFamily="2" charset="0"/>
              </a:rPr>
              <a:t> Cost of Ownership - ICE vs EV</a:t>
            </a:r>
            <a:endParaRPr lang="en-CA" sz="1600" b="1">
              <a:latin typeface="Poppins" panose="00000500000000000000" pitchFamily="2" charset="0"/>
              <a:cs typeface="Poppins" panose="00000500000000000000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62D-48EA-ACD1-2B8A576F8F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ICE - Total Cost</c:v>
              </c:pt>
              <c:pt idx="1">
                <c:v>EV - Total Cost</c:v>
              </c:pt>
            </c:strLit>
          </c:cat>
          <c:val>
            <c:numRef>
              <c:f>('Cost analysis - purchase'!$Q$47,'Cost analysis - purchase'!$AF$47)</c:f>
              <c:numCache>
                <c:formatCode>_("$"* #,##0.00_);_("$"* \(#,##0.00\);_("$"* "-"??_);_(@_)</c:formatCode>
                <c:ptCount val="2"/>
                <c:pt idx="0">
                  <c:v>182234.89881713549</c:v>
                </c:pt>
                <c:pt idx="1">
                  <c:v>171817.90368648595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C4-4165-9783-613400248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473584"/>
        <c:axId val="488460624"/>
      </c:barChart>
      <c:catAx>
        <c:axId val="48847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460624"/>
        <c:crosses val="autoZero"/>
        <c:auto val="1"/>
        <c:lblAlgn val="ctr"/>
        <c:lblOffset val="100"/>
        <c:noMultiLvlLbl val="0"/>
      </c:catAx>
      <c:valAx>
        <c:axId val="4884606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473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CA"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r>
              <a:rPr lang="en-CA"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rPr>
              <a:t>Annual Total Costs Projection - ICE vs EV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CA" sz="16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2"/>
          <c:order val="2"/>
          <c:tx>
            <c:v>Area</c:v>
          </c:tx>
          <c:spPr>
            <a:noFill/>
            <a:ln>
              <a:noFill/>
            </a:ln>
            <a:effectLst/>
          </c:spPr>
          <c:cat>
            <c:strLit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Salvage year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'Cost analysis - purchase'!$AG$38:$AG$46</c15:sqref>
                  </c15:fullRef>
                </c:ext>
              </c:extLst>
              <c:f>'Cost analysis - purchase'!$AG$39:$AG$46</c:f>
              <c:numCache>
                <c:formatCode>_("$"* #,##0.00_);_("$"* \(#,##0.00\);_("$"* "-"??_);_(@_)</c:formatCode>
                <c:ptCount val="8"/>
                <c:pt idx="0">
                  <c:v>32442.810967135258</c:v>
                </c:pt>
                <c:pt idx="1">
                  <c:v>60397.051518539316</c:v>
                </c:pt>
                <c:pt idx="2">
                  <c:v>88646.365060270662</c:v>
                </c:pt>
                <c:pt idx="3">
                  <c:v>117183.76471908712</c:v>
                </c:pt>
                <c:pt idx="4">
                  <c:v>146003.2109805854</c:v>
                </c:pt>
                <c:pt idx="5">
                  <c:v>176299.29702082195</c:v>
                </c:pt>
                <c:pt idx="6">
                  <c:v>206771.95276577794</c:v>
                </c:pt>
                <c:pt idx="7">
                  <c:v>171817.90368648595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10-4024-BE96-1FFAF2A2D72F}"/>
            </c:ext>
          </c:extLst>
        </c:ser>
        <c:ser>
          <c:idx val="3"/>
          <c:order val="3"/>
          <c:tx>
            <c:strRef>
              <c:f>'Cost analysis - purchase'!$AM$37</c:f>
              <c:strCache>
                <c:ptCount val="1"/>
                <c:pt idx="0">
                  <c:v>Cumulative Savings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strLit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Salvage year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'Cost analysis - purchase'!$AM$38:$AM$46</c15:sqref>
                  </c15:fullRef>
                </c:ext>
              </c:extLst>
              <c:f>'Cost analysis - purchase'!$AM$39:$AM$46</c:f>
              <c:numCache>
                <c:formatCode>_-"$"* #,##0.00_-;\-"$"* #,##0.00_-;_-"$"* "-"??_-;_-@_-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10416.995130649535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10-4024-BE96-1FFAF2A2D7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1213424"/>
        <c:axId val="691214864"/>
      </c:areaChart>
      <c:lineChart>
        <c:grouping val="standard"/>
        <c:varyColors val="0"/>
        <c:ser>
          <c:idx val="0"/>
          <c:order val="0"/>
          <c:tx>
            <c:strRef>
              <c:f>'Cost analysis - purchase'!$R$37</c:f>
              <c:strCache>
                <c:ptCount val="1"/>
                <c:pt idx="0">
                  <c:v>ICE - Cumulative Total Cost</c:v>
                </c:pt>
              </c:strCache>
            </c:strRef>
          </c:tx>
          <c:spPr>
            <a:ln w="28575" cap="rnd">
              <a:solidFill>
                <a:schemeClr val="bg2">
                  <a:lumMod val="9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layout>
                <c:manualLayout>
                  <c:x val="-3.7555680285548845E-3"/>
                  <c:y val="-0.110391503870251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110-4024-BE96-1FFAF2A2D7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'Cost analysis - purchase'!$H$3:$H$13</c15:sqref>
                  </c15:fullRef>
                </c:ext>
              </c:extLst>
              <c:f>'Cost analysis - purchase'!$H$4:$H$13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Salvage year</c:v>
                </c:pt>
                <c:pt idx="8">
                  <c:v>Total Cost</c:v>
                </c:pt>
                <c:pt idx="9">
                  <c:v>Total PV cost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'Cost analysis - purchase'!$R$38:$R$46</c15:sqref>
                  </c15:fullRef>
                </c:ext>
              </c:extLst>
              <c:f>'Cost analysis - purchase'!$R$39:$R$46</c:f>
              <c:numCache>
                <c:formatCode>_("$"* #,##0.00_);_("$"* \(#,##0.00\);_("$"* "-"??_);_(@_)</c:formatCode>
                <c:ptCount val="8"/>
                <c:pt idx="0">
                  <c:v>29319.683797035792</c:v>
                </c:pt>
                <c:pt idx="1">
                  <c:v>56409.799094071583</c:v>
                </c:pt>
                <c:pt idx="2">
                  <c:v>83987.567466107372</c:v>
                </c:pt>
                <c:pt idx="3">
                  <c:v>112070.94556689316</c:v>
                </c:pt>
                <c:pt idx="4">
                  <c:v>140678.65936286646</c:v>
                </c:pt>
                <c:pt idx="5">
                  <c:v>169830.24002838662</c:v>
                </c:pt>
                <c:pt idx="6">
                  <c:v>199546.061584323</c:v>
                </c:pt>
                <c:pt idx="7">
                  <c:v>182234.89881713549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110-4024-BE96-1FFAF2A2D72F}"/>
            </c:ext>
          </c:extLst>
        </c:ser>
        <c:ser>
          <c:idx val="1"/>
          <c:order val="1"/>
          <c:tx>
            <c:strRef>
              <c:f>'Cost analysis - purchase'!$AG$37</c:f>
              <c:strCache>
                <c:ptCount val="1"/>
                <c:pt idx="0">
                  <c:v>EV - Cumulative Total Cost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layout>
                <c:manualLayout>
                  <c:x val="-1.1259063000230532E-2"/>
                  <c:y val="0.1741895893717855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110-4024-BE96-1FFAF2A2D7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'Cost analysis - purchase'!$H$3:$H$13</c15:sqref>
                  </c15:fullRef>
                </c:ext>
              </c:extLst>
              <c:f>'Cost analysis - purchase'!$H$4:$H$13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Salvage year</c:v>
                </c:pt>
                <c:pt idx="8">
                  <c:v>Total Cost</c:v>
                </c:pt>
                <c:pt idx="9">
                  <c:v>Total PV cost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'Cost analysis - purchase'!$AG$38:$AG$46</c15:sqref>
                  </c15:fullRef>
                </c:ext>
              </c:extLst>
              <c:f>'Cost analysis - purchase'!$AG$39:$AG$46</c:f>
              <c:numCache>
                <c:formatCode>_("$"* #,##0.00_);_("$"* \(#,##0.00\);_("$"* "-"??_);_(@_)</c:formatCode>
                <c:ptCount val="8"/>
                <c:pt idx="0">
                  <c:v>32442.810967135258</c:v>
                </c:pt>
                <c:pt idx="1">
                  <c:v>60397.051518539316</c:v>
                </c:pt>
                <c:pt idx="2">
                  <c:v>88646.365060270662</c:v>
                </c:pt>
                <c:pt idx="3">
                  <c:v>117183.76471908712</c:v>
                </c:pt>
                <c:pt idx="4">
                  <c:v>146003.2109805854</c:v>
                </c:pt>
                <c:pt idx="5">
                  <c:v>176299.29702082195</c:v>
                </c:pt>
                <c:pt idx="6">
                  <c:v>206771.95276577794</c:v>
                </c:pt>
                <c:pt idx="7">
                  <c:v>171817.90368648595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110-4024-BE96-1FFAF2A2D7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1213424"/>
        <c:axId val="691214864"/>
      </c:lineChart>
      <c:catAx>
        <c:axId val="69121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214864"/>
        <c:crosses val="autoZero"/>
        <c:auto val="1"/>
        <c:lblAlgn val="ctr"/>
        <c:lblOffset val="100"/>
        <c:noMultiLvlLbl val="0"/>
      </c:catAx>
      <c:valAx>
        <c:axId val="69121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21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1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7271</xdr:colOff>
      <xdr:row>36</xdr:row>
      <xdr:rowOff>37312</xdr:rowOff>
    </xdr:from>
    <xdr:to>
      <xdr:col>4</xdr:col>
      <xdr:colOff>1521560</xdr:colOff>
      <xdr:row>57</xdr:row>
      <xdr:rowOff>11293</xdr:rowOff>
    </xdr:to>
    <xdr:graphicFrame macro="">
      <xdr:nvGraphicFramePr>
        <xdr:cNvPr id="597" name="Chart 3">
          <a:extLst>
            <a:ext uri="{FF2B5EF4-FFF2-40B4-BE49-F238E27FC236}">
              <a16:creationId xmlns:a16="http://schemas.microsoft.com/office/drawing/2014/main" id="{625479CA-6184-45A2-AC48-F95FA51B07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9327</xdr:colOff>
      <xdr:row>57</xdr:row>
      <xdr:rowOff>63310</xdr:rowOff>
    </xdr:from>
    <xdr:to>
      <xdr:col>5</xdr:col>
      <xdr:colOff>1477297</xdr:colOff>
      <xdr:row>86</xdr:row>
      <xdr:rowOff>37911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73B6523-1433-423B-8B79-5D188DC06A8E}"/>
            </a:ext>
            <a:ext uri="{147F2762-F138-4A5C-976F-8EAC2B608ADB}">
              <a16:predDERef xmlns:a16="http://schemas.microsoft.com/office/drawing/2014/main" pred="{625479CA-6184-45A2-AC48-F95FA51B07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1587500</xdr:colOff>
      <xdr:row>57</xdr:row>
      <xdr:rowOff>67793</xdr:rowOff>
    </xdr:from>
    <xdr:to>
      <xdr:col>14</xdr:col>
      <xdr:colOff>38472</xdr:colOff>
      <xdr:row>86</xdr:row>
      <xdr:rowOff>20167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767FEB01-1B6A-4362-9EF4-782C782745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19238</xdr:colOff>
      <xdr:row>107</xdr:row>
      <xdr:rowOff>94879</xdr:rowOff>
    </xdr:from>
    <xdr:to>
      <xdr:col>5</xdr:col>
      <xdr:colOff>1685739</xdr:colOff>
      <xdr:row>137</xdr:row>
      <xdr:rowOff>21855</xdr:rowOff>
    </xdr:to>
    <xdr:graphicFrame macro="">
      <xdr:nvGraphicFramePr>
        <xdr:cNvPr id="681" name="Chart 4">
          <a:extLst>
            <a:ext uri="{FF2B5EF4-FFF2-40B4-BE49-F238E27FC236}">
              <a16:creationId xmlns:a16="http://schemas.microsoft.com/office/drawing/2014/main" id="{D5EAB8CB-5262-41B0-81AC-0DF74D5478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1744758</xdr:colOff>
      <xdr:row>107</xdr:row>
      <xdr:rowOff>83487</xdr:rowOff>
    </xdr:from>
    <xdr:to>
      <xdr:col>14</xdr:col>
      <xdr:colOff>30442</xdr:colOff>
      <xdr:row>137</xdr:row>
      <xdr:rowOff>26336</xdr:rowOff>
    </xdr:to>
    <xdr:graphicFrame macro="">
      <xdr:nvGraphicFramePr>
        <xdr:cNvPr id="649" name="Chart 5">
          <a:extLst>
            <a:ext uri="{FF2B5EF4-FFF2-40B4-BE49-F238E27FC236}">
              <a16:creationId xmlns:a16="http://schemas.microsoft.com/office/drawing/2014/main" id="{01B0A4AB-F10A-4EBE-A003-C43B0149D6BE}"/>
            </a:ext>
            <a:ext uri="{147F2762-F138-4A5C-976F-8EAC2B608ADB}">
              <a16:predDERef xmlns:a16="http://schemas.microsoft.com/office/drawing/2014/main" pred="{D5EAB8CB-5262-41B0-81AC-0DF74D5478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49238</xdr:colOff>
      <xdr:row>157</xdr:row>
      <xdr:rowOff>249096</xdr:rowOff>
    </xdr:from>
    <xdr:to>
      <xdr:col>5</xdr:col>
      <xdr:colOff>1579149</xdr:colOff>
      <xdr:row>189</xdr:row>
      <xdr:rowOff>59223</xdr:rowOff>
    </xdr:to>
    <xdr:graphicFrame macro="">
      <xdr:nvGraphicFramePr>
        <xdr:cNvPr id="683" name="Chart 4">
          <a:extLst>
            <a:ext uri="{FF2B5EF4-FFF2-40B4-BE49-F238E27FC236}">
              <a16:creationId xmlns:a16="http://schemas.microsoft.com/office/drawing/2014/main" id="{DC1D4854-4D64-44AE-A644-0E0955E077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1705656</xdr:colOff>
      <xdr:row>157</xdr:row>
      <xdr:rowOff>247863</xdr:rowOff>
    </xdr:from>
    <xdr:to>
      <xdr:col>14</xdr:col>
      <xdr:colOff>59191</xdr:colOff>
      <xdr:row>189</xdr:row>
      <xdr:rowOff>67774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0BFE5D87-67C9-4EFB-9B7E-F1E5B8852CBB}"/>
            </a:ext>
            <a:ext uri="{147F2762-F138-4A5C-976F-8EAC2B608ADB}">
              <a16:predDERef xmlns:a16="http://schemas.microsoft.com/office/drawing/2014/main" pred="{DC1D4854-4D64-44AE-A644-0E0955E077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1597761</xdr:colOff>
      <xdr:row>36</xdr:row>
      <xdr:rowOff>47450</xdr:rowOff>
    </xdr:from>
    <xdr:to>
      <xdr:col>14</xdr:col>
      <xdr:colOff>35100</xdr:colOff>
      <xdr:row>57</xdr:row>
      <xdr:rowOff>18390</xdr:rowOff>
    </xdr:to>
    <xdr:graphicFrame macro="">
      <xdr:nvGraphicFramePr>
        <xdr:cNvPr id="607" name="Chart 1">
          <a:extLst>
            <a:ext uri="{FF2B5EF4-FFF2-40B4-BE49-F238E27FC236}">
              <a16:creationId xmlns:a16="http://schemas.microsoft.com/office/drawing/2014/main" id="{D27ABE08-97E0-4A40-AADB-E4343D40FD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8566</xdr:colOff>
      <xdr:row>88</xdr:row>
      <xdr:rowOff>38590</xdr:rowOff>
    </xdr:from>
    <xdr:to>
      <xdr:col>4</xdr:col>
      <xdr:colOff>927075</xdr:colOff>
      <xdr:row>106</xdr:row>
      <xdr:rowOff>185808</xdr:rowOff>
    </xdr:to>
    <xdr:graphicFrame macro="">
      <xdr:nvGraphicFramePr>
        <xdr:cNvPr id="623" name="Chart 3">
          <a:extLst>
            <a:ext uri="{FF2B5EF4-FFF2-40B4-BE49-F238E27FC236}">
              <a16:creationId xmlns:a16="http://schemas.microsoft.com/office/drawing/2014/main" id="{785B9FF8-FA69-4F22-B0D5-041E77BBFD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964946</xdr:colOff>
      <xdr:row>88</xdr:row>
      <xdr:rowOff>37911</xdr:rowOff>
    </xdr:from>
    <xdr:to>
      <xdr:col>14</xdr:col>
      <xdr:colOff>30442</xdr:colOff>
      <xdr:row>107</xdr:row>
      <xdr:rowOff>685</xdr:rowOff>
    </xdr:to>
    <xdr:graphicFrame macro="">
      <xdr:nvGraphicFramePr>
        <xdr:cNvPr id="633" name="Chart 3">
          <a:extLst>
            <a:ext uri="{FF2B5EF4-FFF2-40B4-BE49-F238E27FC236}">
              <a16:creationId xmlns:a16="http://schemas.microsoft.com/office/drawing/2014/main" id="{2AF2F82E-8335-45EF-84A3-2972A05D20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38431</xdr:colOff>
      <xdr:row>139</xdr:row>
      <xdr:rowOff>89282</xdr:rowOff>
    </xdr:from>
    <xdr:to>
      <xdr:col>4</xdr:col>
      <xdr:colOff>933759</xdr:colOff>
      <xdr:row>157</xdr:row>
      <xdr:rowOff>115797</xdr:rowOff>
    </xdr:to>
    <xdr:graphicFrame macro="">
      <xdr:nvGraphicFramePr>
        <xdr:cNvPr id="657" name="Chart 3">
          <a:extLst>
            <a:ext uri="{FF2B5EF4-FFF2-40B4-BE49-F238E27FC236}">
              <a16:creationId xmlns:a16="http://schemas.microsoft.com/office/drawing/2014/main" id="{1F279CB5-4F2C-4527-8299-6B8DF0BE62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1000126</xdr:colOff>
      <xdr:row>139</xdr:row>
      <xdr:rowOff>67928</xdr:rowOff>
    </xdr:from>
    <xdr:to>
      <xdr:col>14</xdr:col>
      <xdr:colOff>85354</xdr:colOff>
      <xdr:row>157</xdr:row>
      <xdr:rowOff>145317</xdr:rowOff>
    </xdr:to>
    <xdr:graphicFrame macro="">
      <xdr:nvGraphicFramePr>
        <xdr:cNvPr id="667" name="Chart 5">
          <a:extLst>
            <a:ext uri="{FF2B5EF4-FFF2-40B4-BE49-F238E27FC236}">
              <a16:creationId xmlns:a16="http://schemas.microsoft.com/office/drawing/2014/main" id="{6087758B-E3A2-4480-AFF8-506C40B7C3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17</xdr:col>
      <xdr:colOff>51955</xdr:colOff>
      <xdr:row>83</xdr:row>
      <xdr:rowOff>48923</xdr:rowOff>
    </xdr:from>
    <xdr:to>
      <xdr:col>18</xdr:col>
      <xdr:colOff>10509</xdr:colOff>
      <xdr:row>86</xdr:row>
      <xdr:rowOff>113433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FA4BF17-3992-872A-D3C8-CE7BB675B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53182" y="24138514"/>
          <a:ext cx="2111430" cy="843828"/>
        </a:xfrm>
        <a:prstGeom prst="rect">
          <a:avLst/>
        </a:prstGeom>
      </xdr:spPr>
    </xdr:pic>
    <xdr:clientData/>
  </xdr:twoCellAnchor>
  <xdr:twoCellAnchor editAs="oneCell">
    <xdr:from>
      <xdr:col>17</xdr:col>
      <xdr:colOff>66240</xdr:colOff>
      <xdr:row>133</xdr:row>
      <xdr:rowOff>174912</xdr:rowOff>
    </xdr:from>
    <xdr:to>
      <xdr:col>18</xdr:col>
      <xdr:colOff>10507</xdr:colOff>
      <xdr:row>137</xdr:row>
      <xdr:rowOff>126131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BA4CDE2-EB62-45D4-99EF-F673666E1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67467" y="38448094"/>
          <a:ext cx="2101906" cy="848590"/>
        </a:xfrm>
        <a:prstGeom prst="rect">
          <a:avLst/>
        </a:prstGeom>
      </xdr:spPr>
    </xdr:pic>
    <xdr:clientData/>
  </xdr:twoCellAnchor>
  <xdr:twoCellAnchor editAs="oneCell">
    <xdr:from>
      <xdr:col>17</xdr:col>
      <xdr:colOff>174911</xdr:colOff>
      <xdr:row>185</xdr:row>
      <xdr:rowOff>28572</xdr:rowOff>
    </xdr:from>
    <xdr:to>
      <xdr:col>18</xdr:col>
      <xdr:colOff>50709</xdr:colOff>
      <xdr:row>189</xdr:row>
      <xdr:rowOff>115162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16CF5F1-C69C-47AE-8F90-5052EC9F5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76138" y="51550163"/>
          <a:ext cx="2106668" cy="843828"/>
        </a:xfrm>
        <a:prstGeom prst="rect">
          <a:avLst/>
        </a:prstGeom>
      </xdr:spPr>
    </xdr:pic>
    <xdr:clientData/>
  </xdr:twoCellAnchor>
  <xdr:twoCellAnchor editAs="oneCell">
    <xdr:from>
      <xdr:col>11</xdr:col>
      <xdr:colOff>165189</xdr:colOff>
      <xdr:row>1</xdr:row>
      <xdr:rowOff>20695</xdr:rowOff>
    </xdr:from>
    <xdr:to>
      <xdr:col>12</xdr:col>
      <xdr:colOff>541343</xdr:colOff>
      <xdr:row>2</xdr:row>
      <xdr:rowOff>354644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AE46CA3-0779-44E3-86B9-BF0664FF8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09232" y="304418"/>
          <a:ext cx="1879009" cy="8779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619125</xdr:colOff>
      <xdr:row>3</xdr:row>
      <xdr:rowOff>0</xdr:rowOff>
    </xdr:from>
    <xdr:to>
      <xdr:col>12</xdr:col>
      <xdr:colOff>600075</xdr:colOff>
      <xdr:row>7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9E54B11-A272-E160-46B8-1955778640D7}"/>
            </a:ext>
          </a:extLst>
        </xdr:cNvPr>
        <xdr:cNvSpPr txBox="1"/>
      </xdr:nvSpPr>
      <xdr:spPr>
        <a:xfrm>
          <a:off x="9439275" y="542925"/>
          <a:ext cx="3867150" cy="771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/>
            <a:t>Electricity Costs Last</a:t>
          </a:r>
          <a:r>
            <a:rPr lang="en-CA" sz="1100" baseline="0"/>
            <a:t> Updated: March 2025 (using  2023 report)</a:t>
          </a:r>
        </a:p>
        <a:p>
          <a:r>
            <a:rPr lang="en-CA" sz="1100" baseline="0"/>
            <a:t>Gasoline Costs Last Updated: May 2025</a:t>
          </a:r>
        </a:p>
        <a:p>
          <a:r>
            <a:rPr lang="en-CA" sz="1100" baseline="0"/>
            <a:t>Diesel Costs Last Updated: May 2025</a:t>
          </a:r>
        </a:p>
        <a:p>
          <a:endParaRPr lang="en-CA" sz="1100"/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Dhiren Khattar" id="{4C7104A3-9D44-4658-B8AD-494CCF454871}" userId="S::Dhiren.Khattar@poweronenergy.ca::173c4ac1-b80a-4a58-988d-03cb001d1aa7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8C6F7F-1EBD-42F5-B8CF-366F7A511AE9}" name="EV_DB" displayName="EV_DB" ref="A1:AR79" totalsRowShown="0" headerRowDxfId="73" dataDxfId="72">
  <tableColumns count="44">
    <tableColumn id="2" xr3:uid="{D76254B2-456F-45CA-865E-DDA98CA59425}" name="Manufacturer  " dataDxfId="71"/>
    <tableColumn id="3" xr3:uid="{99ED263D-8BBB-456A-95DA-9B85932FEED8}" name="Model" dataDxfId="70"/>
    <tableColumn id="21" xr3:uid="{1FCDB522-573D-4729-91DC-885A7D615BEC}" name="Make &amp; Model" dataDxfId="69">
      <calculatedColumnFormula>EV_DB[[#This Row],[Manufacturer  ]]&amp; " " &amp;EV_DB[[#This Row],[Model]]</calculatedColumnFormula>
    </tableColumn>
    <tableColumn id="4" xr3:uid="{D5CDF037-FE2E-43CB-8D2C-BD96B055DE9F}" name="Type/Use Case" dataDxfId="68"/>
    <tableColumn id="5" xr3:uid="{E57639E7-F7A9-41EA-8CD9-9FB0784D253E}" name="Model Year " dataDxfId="67"/>
    <tableColumn id="6" xr3:uid="{AD380CE5-DB8E-40D4-89E3-A6BDA700C3ED}" name="FHWA Class (2B - 8)" dataDxfId="66"/>
    <tableColumn id="8" xr3:uid="{368F6162-80BE-46C0-A276-BAD8D94455F1}" name="Category" dataDxfId="65">
      <calculatedColumnFormula array="1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calculatedColumnFormula>
    </tableColumn>
    <tableColumn id="7" xr3:uid="{F741938C-6A10-46CF-BBF8-F49C8EDB27A3}" name="GVWR, lbs. (Gross Vehicle Weight Rating)" dataDxfId="64"/>
    <tableColumn id="9" xr3:uid="{42BFB0FB-EE3F-4AFD-8E74-029CEA575E3A}" name="Max Payload, lbs." dataDxfId="63"/>
    <tableColumn id="10" xr3:uid="{5D5805BB-FABC-492E-8839-594504684C8C}" name="Cost, $MSRP_x000a_CAD" dataDxfId="62" dataCellStyle="Currency"/>
    <tableColumn id="27" xr3:uid="{9CE7AA32-E089-4B47-9864-DDEE4533F2C6}" name="Maintenance cost ($/km)" dataDxfId="61" dataCellStyle="Currency">
      <calculatedColumnFormula array="1">_xlfn.IFS(EV_DB[[#This Row],[Category]]="Light Duty",'Maintenance costs table'!$D$4,EV_DB[[#This Row],[Category]]="Medium Duty",'Maintenance costs table'!$D$8,EV_DB[[#This Row],[Category]]="Heavy Duty",'Maintenance costs table'!$D$6)</calculatedColumnFormula>
    </tableColumn>
    <tableColumn id="34" xr3:uid="{87533923-EC71-47BC-A40C-C931C33DCF08}" name="Refrigerated Unit" dataDxfId="60" dataCellStyle="Currency"/>
    <tableColumn id="11" xr3:uid="{5DC53032-851F-4AAB-95E7-7D21963B4478}" name="Battery Size, kWh" dataDxfId="59"/>
    <tableColumn id="15" xr3:uid="{2819C58F-25B9-48F0-BEF2-5CEAD4EF9F88}" name="Efficiency (kwh/km)" dataDxfId="58"/>
    <tableColumn id="17" xr3:uid="{1555FEEF-A769-4D4C-833C-BD6B145D1C75}" name="Max Charge Rate, kw " dataDxfId="57"/>
    <tableColumn id="18" xr3:uid="{68EC414A-4968-4DF5-99AD-C703DA8C9784}" name="Battery Voltage (V)" dataDxfId="56"/>
    <tableColumn id="20" xr3:uid="{2E85E050-1109-4B3C-95E0-39477E8A3071}" name="Range (km)" dataDxfId="55"/>
    <tableColumn id="16" xr3:uid="{0FF4A3EC-1C03-4BCC-9965-6B3B05A8AFA1}" name="Federal Rebates (iMHZEV) " dataDxfId="54">
      <calculatedColumnFormula array="1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calculatedColumnFormula>
    </tableColumn>
    <tableColumn id="45" xr3:uid="{41387D15-F491-451E-A85F-F5508E3A39CA}" name="ON Vehicle Rebates" dataDxfId="53"/>
    <tableColumn id="14" xr3:uid="{BB428FF3-AA05-4E75-8F3A-29873A315978}" name="BC Vehicle Rebates" dataDxfId="52">
      <calculatedColumnFormula array="1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calculatedColumnFormula>
    </tableColumn>
    <tableColumn id="44" xr3:uid="{6D9F6542-4CBC-49A7-8BEC-842DE79EC102}" name="QC Vehicle Rebates" dataDxfId="51"/>
    <tableColumn id="43" xr3:uid="{5B433A0F-31DC-4679-B22D-900FBE1BDE67}" name="AB Vehicle Rebates" dataDxfId="50"/>
    <tableColumn id="42" xr3:uid="{ACC498D5-E369-46A5-8E01-BF247DC16F5A}" name="SC Vehicle Rebates" dataDxfId="49"/>
    <tableColumn id="41" xr3:uid="{A3F8B6D3-922D-44C3-9B3F-04F4A7BAE77B}" name="NS Vehicle Rebates" dataDxfId="48"/>
    <tableColumn id="40" xr3:uid="{DDD02AA8-3723-4667-9175-E3E401255E87}" name="NB Vehicle Rebates" dataDxfId="47"/>
    <tableColumn id="39" xr3:uid="{3AA3554A-1F60-4E4C-9802-6D6A28D67049}" name="MB Vehicle Rebates" dataDxfId="46"/>
    <tableColumn id="38" xr3:uid="{78AE233D-1214-4246-B768-7E0284070AF7}" name="PEI Vehicle Rebates" dataDxfId="45"/>
    <tableColumn id="37" xr3:uid="{F217002E-9122-49D5-9A74-26EFC06406A1}" name="NL Vehicle Rebates" dataDxfId="44"/>
    <tableColumn id="36" xr3:uid="{39BFAD79-6355-4D69-975B-970065433BAE}" name="YT Vehicle Rebates" dataDxfId="43"/>
    <tableColumn id="35" xr3:uid="{B690CBE1-57C0-40C8-9358-B2524280AFA7}" name="NU Vehicle Rebates" dataDxfId="42"/>
    <tableColumn id="19" xr3:uid="{1C2BA918-FD90-4B28-85F4-8E6C0AEBA195}" name="NT Vehicle Rebates" dataDxfId="41"/>
    <tableColumn id="12" xr3:uid="{38893562-394B-4968-B6C2-374D3E4DD460}" name="ON - Total rebate(s) value" dataDxfId="40">
      <calculatedColumnFormula>MIN(MAX(EV_DB[[#This Row],[Federal Rebates (iMHZEV) ]],EV_DB[[#This Row],[ON Vehicle Rebates]]),PRODUCT(EV_DB[[#This Row],[Cost, $MSRP
CAD]],0.75))</calculatedColumnFormula>
    </tableColumn>
    <tableColumn id="13" xr3:uid="{4A6C898E-2BBD-419B-8A15-6924A93D21D5}" name="BC - Total rebate(s) value" dataDxfId="39">
      <calculatedColumnFormula>MIN(EV_DB[[#This Row],[Federal Rebates (iMHZEV) ]]+EV_DB[[#This Row],[BC Vehicle Rebates]],PRODUCT(EV_DB[[#This Row],[Cost, $MSRP
CAD]],0.75))</calculatedColumnFormula>
    </tableColumn>
    <tableColumn id="22" xr3:uid="{3FA04A61-186E-4D0F-8A5D-0196B009F6FF}" name="QC - Total rebate(s) value" dataDxfId="38">
      <calculatedColumnFormula>MIN(EV_DB[[#This Row],[Federal Rebates (iMHZEV) ]]+EV_DB[[#This Row],[QC Vehicle Rebates]],PRODUCT(EV_DB[[#This Row],[Cost, $MSRP
CAD]],0.75))</calculatedColumnFormula>
    </tableColumn>
    <tableColumn id="23" xr3:uid="{E88716DC-7FB1-44E5-977F-46D450EC1FB7}" name="AB - Total rebate(s) value" dataDxfId="37">
      <calculatedColumnFormula>MIN(MAX(EV_DB[[#This Row],[Federal Rebates (iMHZEV) ]],EV_DB[[#This Row],[AB Vehicle Rebates]]),PRODUCT(EV_DB[[#This Row],[Cost, $MSRP
CAD]],0.75))</calculatedColumnFormula>
    </tableColumn>
    <tableColumn id="24" xr3:uid="{3BA799DC-3F8D-4331-B910-DF973B78DBB5}" name="SC - Total rebate(s) value" dataDxfId="36">
      <calculatedColumnFormula>MIN(MAX(EV_DB[[#This Row],[Federal Rebates (iMHZEV) ]],EV_DB[[#This Row],[SC Vehicle Rebates]]),PRODUCT(EV_DB[[#This Row],[Cost, $MSRP
CAD]],0.75))</calculatedColumnFormula>
    </tableColumn>
    <tableColumn id="25" xr3:uid="{643A19BF-7EAF-484B-ADE2-3C087C6C97BD}" name="NS - Total rebate(s) value" dataDxfId="35">
      <calculatedColumnFormula>MIN(MAX(EV_DB[[#This Row],[Federal Rebates (iMHZEV) ]],EV_DB[[#This Row],[NS Vehicle Rebates]]),PRODUCT(EV_DB[[#This Row],[Cost, $MSRP
CAD]],0.75))</calculatedColumnFormula>
    </tableColumn>
    <tableColumn id="26" xr3:uid="{A32FF105-5AE9-4824-AE23-EABE28F90684}" name="NB - Total rebate(s) value" dataDxfId="34">
      <calculatedColumnFormula>MIN(MAX(EV_DB[[#This Row],[Federal Rebates (iMHZEV) ]],EV_DB[[#This Row],[NB Vehicle Rebates]]),PRODUCT(EV_DB[[#This Row],[Cost, $MSRP
CAD]],0.75))</calculatedColumnFormula>
    </tableColumn>
    <tableColumn id="28" xr3:uid="{B78F189C-5510-4758-AF47-1844BE96C7FD}" name="MB - Total rebate(s) value" dataDxfId="33">
      <calculatedColumnFormula>MIN(MAX(EV_DB[[#This Row],[Federal Rebates (iMHZEV) ]],EV_DB[[#This Row],[MB Vehicle Rebates]]),PRODUCT(EV_DB[[#This Row],[Cost, $MSRP
CAD]],0.75))</calculatedColumnFormula>
    </tableColumn>
    <tableColumn id="29" xr3:uid="{9C1A431E-FF7E-42F2-89C5-0A70271E7F72}" name="PEI - Total rebate(s) value" dataDxfId="32">
      <calculatedColumnFormula>MIN(MAX(EV_DB[[#This Row],[Federal Rebates (iMHZEV) ]],EV_DB[[#This Row],[PEI Vehicle Rebates]]),PRODUCT(EV_DB[[#This Row],[Cost, $MSRP
CAD]],0.75))</calculatedColumnFormula>
    </tableColumn>
    <tableColumn id="30" xr3:uid="{F83A96FF-25AC-4593-A7D5-67CE1C09A2C5}" name="NL - Total rebate(s) value" dataDxfId="31">
      <calculatedColumnFormula>MIN(MAX(EV_DB[[#This Row],[Federal Rebates (iMHZEV) ]],EV_DB[[#This Row],[NL Vehicle Rebates]]),PRODUCT(EV_DB[[#This Row],[Cost, $MSRP
CAD]],0.75))</calculatedColumnFormula>
    </tableColumn>
    <tableColumn id="31" xr3:uid="{44F65D77-71D4-4E45-9D2E-B6180396E264}" name="YT - Total rebate(s) value" dataDxfId="30">
      <calculatedColumnFormula>MIN(MAX(EV_DB[[#This Row],[Federal Rebates (iMHZEV) ]]+EV_DB[[#This Row],[YT Vehicle Rebates]]),PRODUCT(EV_DB[[#This Row],[Cost, $MSRP
CAD]],0.75))</calculatedColumnFormula>
    </tableColumn>
    <tableColumn id="32" xr3:uid="{24E42592-5BF9-4880-8A18-7E0ACAAA0C7E}" name="NU - Total rebate(s) value" dataDxfId="29">
      <calculatedColumnFormula>MIN(MAX(EV_DB[[#This Row],[Federal Rebates (iMHZEV) ]],EV_DB[[#This Row],[NU Vehicle Rebates]]),PRODUCT(EV_DB[[#This Row],[Cost, $MSRP
CAD]],0.75))</calculatedColumnFormula>
    </tableColumn>
    <tableColumn id="33" xr3:uid="{9DB16C63-1F14-43F8-BEA1-CB77B47FBD69}" name="NT - Total rebate(s) value" dataDxfId="28">
      <calculatedColumnFormula>MIN(MAX(EV_DB[[#This Row],[Federal Rebates (iMHZEV) ]],EV_DB[[#This Row],[NT Vehicle Rebates]]),PRODUCT(EV_DB[[#This Row],[Cost, $MSRP
CAD]],0.75))</calculatedColumnFormula>
    </tableColumn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4403EC1-B7B2-4FA3-9252-4E922CB67158}" name="Fuelcosts_DB" displayName="Fuelcosts_DB" ref="A1:D14" totalsRowShown="0">
  <autoFilter ref="A1:D14" xr:uid="{94403EC1-B7B2-4FA3-9252-4E922CB67158}"/>
  <tableColumns count="4">
    <tableColumn id="1" xr3:uid="{79B692B8-5489-4CD2-8041-784B28B64C39}" name="Province"/>
    <tableColumn id="2" xr3:uid="{88EC1B55-D93A-4483-8DA5-784D28C8435A}" name="Cost of electricity ($/kWh)"/>
    <tableColumn id="3" xr3:uid="{6F14D85B-D7A5-4E1D-9B54-C74E9B29A274}" name="Gasoline cost ($/L)"/>
    <tableColumn id="4" xr3:uid="{0E22414E-B338-4F7D-9009-4B2DBA0D878D}" name="Diesel cost ($/L)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84C7A7-B1FA-4E7D-8578-D7DC54B5236A}" name="ICE_DB" displayName="ICE_DB" ref="A1:K34" totalsRowShown="0" headerRowDxfId="27" dataDxfId="26">
  <autoFilter ref="A1:K34" xr:uid="{BF84C7A7-B1FA-4E7D-8578-D7DC54B5236A}"/>
  <tableColumns count="11">
    <tableColumn id="1" xr3:uid="{4ED98CD1-78E5-4ACD-A9B5-684B9A88B602}" name="Make + Model" dataDxfId="25"/>
    <tableColumn id="10" xr3:uid="{9FB98C78-6BEA-4831-A386-3D227DAB0967}" name="Model Year" dataDxfId="24"/>
    <tableColumn id="2" xr3:uid="{B9D213C3-4A7D-4A4C-A9AB-6AE570B38FFE}" name="Payload (lbs)" dataDxfId="23"/>
    <tableColumn id="11" xr3:uid="{3DA39F3F-11FC-4D3E-8B7D-43CA3CF39BB6}" name="Type/ Use Case" dataDxfId="22"/>
    <tableColumn id="3" xr3:uid="{E4730B40-4189-4055-A3CD-DF33C7A49F08}" name="Purchase price ($ CAD)" dataDxfId="21" dataCellStyle="Currency"/>
    <tableColumn id="8" xr3:uid="{4AE21D89-C1AF-478C-B034-642E0BF3CAF6}" name="FHWA Class (2B - 8)" dataDxfId="20"/>
    <tableColumn id="9" xr3:uid="{CB6044B0-B168-46B6-9F26-112E87BA159B}" name="Category" dataDxfId="19">
      <calculatedColumnFormula array="1">_xlfn.IFS(OR(ICE_DB[[#This Row],[FHWA Class (2B - 8)]]= "2B", ICE_DB[[#This Row],[FHWA Class (2B - 8)]]=3), "Light Duty",OR(ICE_DB[[#This Row],[FHWA Class (2B - 8)]]=4,ICE_DB[[#This Row],[FHWA Class (2B - 8)]]=5,ICE_DB[[#This Row],[FHWA Class (2B - 8)]]=6),"Medium Duty",OR(ICE_DB[[#This Row],[FHWA Class (2B - 8)]]=7,ICE_DB[[#This Row],[FHWA Class (2B - 8)]]=8), "Heavy Duty")</calculatedColumnFormula>
    </tableColumn>
    <tableColumn id="4" xr3:uid="{3AC87AE0-0060-4515-95D0-3287D6A5CF4F}" name="Maintenance cost ($/km)" dataDxfId="18">
      <calculatedColumnFormula array="1">_xlfn.IFS(ICE_DB[[#This Row],[Category]]="Light Duty",'Maintenance costs table'!$D$3, ICE_DB[[#This Row],[Category]]="Medium Duty",'Maintenance costs table'!$D$7,ICE_DB[[#This Row],[Category]]="Heavy Duty",'Maintenance costs table'!$D$5)</calculatedColumnFormula>
    </tableColumn>
    <tableColumn id="6" xr3:uid="{84EBCA84-4911-4F12-B0CC-28B1C2CD8D5E}" name="Efficiency (L/KM)" dataDxfId="17"/>
    <tableColumn id="7" xr3:uid="{E5C8472D-EBBA-45E9-BB18-FB6D92332309}" name="Fuel type" dataDxfId="16"/>
    <tableColumn id="5" xr3:uid="{4F49D4C7-4482-4E9E-B104-DAA699D7B9F4}" name="EV Equivalent " dataDxfId="15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4FE65E-08D9-4CE8-9D10-8B2E487CBE2F}" name="Charger_DB" displayName="Charger_DB" ref="A1:D6" totalsRowShown="0" headerRowDxfId="14" dataDxfId="13">
  <autoFilter ref="A1:D6" xr:uid="{3F4FE65E-08D9-4CE8-9D10-8B2E487CBE2F}"/>
  <tableColumns count="4">
    <tableColumn id="1" xr3:uid="{2B05EF12-9F28-4E09-A9AD-4CBDDE45E392}" name="Charger type" dataDxfId="12"/>
    <tableColumn id="2" xr3:uid="{8D5796FA-F8AD-4336-90A8-2FEE975971EA}" name="Charger name" dataDxfId="11"/>
    <tableColumn id="3" xr3:uid="{155319D9-2D4E-46C9-95AD-C2BD769FE054}" name="Purchase + installation cost$ CAD" dataDxfId="10"/>
    <tableColumn id="4" xr3:uid="{8ABE03EE-27E2-4438-B321-10D26A7EB38D}" name="Max charge rate (kW)" dataDxfId="9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37D1724-6FCE-46BA-918B-C5241F4F7032}" name="CFR_DB" displayName="CFR_DB" ref="A1:C27" totalsRowShown="0" headerRowDxfId="8">
  <autoFilter ref="A1:C27" xr:uid="{737D1724-6FCE-46BA-918B-C5241F4F7032}"/>
  <tableColumns count="3">
    <tableColumn id="1" xr3:uid="{E50E1629-E49A-4AD5-B404-7A2E81B91B19}" name="Vehicle type" dataDxfId="7"/>
    <tableColumn id="2" xr3:uid="{32F22053-D7A2-41D0-8056-B16B153AE0E0}" name="Province"/>
    <tableColumn id="3" xr3:uid="{4915AC1E-CFD3-4002-AD6C-EA928515D323}" name="Marginal CFR $ value per kWh dispense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AD85A4A-CC0B-4A46-A039-6CC2F6D71094}" name="Table5" displayName="Table5" ref="A1:B6" totalsRowShown="0">
  <autoFilter ref="A1:B6" xr:uid="{4AD85A4A-CC0B-4A46-A039-6CC2F6D71094}"/>
  <tableColumns count="2">
    <tableColumn id="1" xr3:uid="{6A8551AD-1BB0-4A1B-BF59-68FD9FA80093}" name="Class" dataDxfId="6"/>
    <tableColumn id="2" xr3:uid="{CB4C8759-0277-4FA5-8BF1-CCFDB9E89842}" name="Clean BC vehicle rebate amou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C7B4C5-8BAE-404A-942D-970B71D02F30}" name="chrgrincentive_DB" displayName="chrgrincentive_DB" ref="A1:D40" totalsRowShown="0" headerRowDxfId="5" dataDxfId="4">
  <autoFilter ref="A1:D40" xr:uid="{5EC7B4C5-8BAE-404A-942D-970B71D02F30}"/>
  <tableColumns count="4">
    <tableColumn id="1" xr3:uid="{578CBED4-5097-4C91-85BD-0F1A108B7FF4}" name="Charger type" dataDxfId="3"/>
    <tableColumn id="2" xr3:uid="{B45880C3-C304-4860-899A-0B7F0DF7BDF0}" name="Charger name" dataDxfId="2"/>
    <tableColumn id="3" xr3:uid="{AB609BE7-55B9-46DC-836D-10BC7D871733}" name="Province" dataDxfId="1"/>
    <tableColumn id="4" xr3:uid="{44C6B9D0-2724-4D1F-85FF-EA51918C824F}" name="Plugin BC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28" dT="2025-01-28T19:33:19.04" personId="{4C7104A3-9D44-4658-B8AD-494CCF454871}" id="{EFC32024-0841-4435-9586-30076543A643}">
    <text>$300,000 - $337,000</text>
  </threadedComment>
  <threadedComment ref="J39" dT="2025-01-28T19:33:54.62" personId="{4C7104A3-9D44-4658-B8AD-494CCF454871}" id="{1A029378-0655-480D-9C48-482B4F528D2F}">
    <text>~ $ 250 - 300 K</text>
  </threadedComment>
  <threadedComment ref="J59" dT="2025-01-28T19:34:30.35" personId="{4C7104A3-9D44-4658-B8AD-494CCF454871}" id="{C88CFCB7-3866-4FC5-A447-3ECA7EB49BB8}">
    <text xml:space="preserve"> $463,000 - $550,000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2" dT="2025-05-08T18:39:01.13" personId="{4C7104A3-9D44-4658-B8AD-494CCF454871}" id="{E2EAE801-E2A0-48D7-B334-FCBF55A11C09}">
    <text xml:space="preserve">Motor fuel prices | Ontario.ca </text>
    <extLst>
      <x:ext xmlns:xltc2="http://schemas.microsoft.com/office/spreadsheetml/2020/threadedcomments2" uri="{F7C98A9C-CBB3-438F-8F68-D28B6AF4A901}">
        <xltc2:checksum>2371988101</xltc2:checksum>
        <xltc2:hyperlink startIndex="0" length="30" url="https://www.ontario.ca/motor-fuel-prices/"/>
      </x:ext>
    </extLst>
  </threadedComment>
  <threadedComment ref="C3" dT="2025-05-08T18:34:25.50" personId="{4C7104A3-9D44-4658-B8AD-494CCF454871}" id="{F9DC6AF8-F489-47B0-9B28-D438D2C41848}">
    <text>https://vancouver.citynews.ca/2025/05/05/vancouver-gas-prices-25c-more-national-average/</text>
    <extLst>
      <x:ext xmlns:xltc2="http://schemas.microsoft.com/office/spreadsheetml/2020/threadedcomments2" uri="{F7C98A9C-CBB3-438F-8F68-D28B6AF4A901}">
        <xltc2:checksum>3067404600</xltc2:checksum>
        <xltc2:hyperlink startIndex="0" length="88" url="https://vancouver.citynews.ca/2025/05/05/vancouver-gas-prices-25c-more-national-average/"/>
      </x:ext>
    </extLs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1" dT="2025-03-03T21:05:46.74" personId="{4C7104A3-9D44-4658-B8AD-494CCF454871}" id="{692656FA-0273-4BDC-A2EC-09441C87412D}">
    <text>Based on chatGPT research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news.gov.bc.ca/releases/2023EMLI0062-001683?utm_source=chatgpt.com" TargetMode="External"/><Relationship Id="rId2" Type="http://schemas.openxmlformats.org/officeDocument/2006/relationships/hyperlink" Target="https://www.canadianenergycentre.ca/up-to-350-per-cent-higher-at-the-pump-by-2030-the-impact-of-higher-carbon-taxes-on-gasoline-prices/?utm_source=chatgpt.com" TargetMode="External"/><Relationship Id="rId1" Type="http://schemas.openxmlformats.org/officeDocument/2006/relationships/hyperlink" Target="https://app.bchydro.com/accounts-billing/rates-energy-use/electricity-rates/business-rates.html" TargetMode="External"/><Relationship Id="rId6" Type="http://schemas.openxmlformats.org/officeDocument/2006/relationships/hyperlink" Target="https://www.csagroup.org/standards/areas-of-focus/fuels-transportation/standards-for-battery-electric-vehicles-and-energy-management/" TargetMode="External"/><Relationship Id="rId5" Type="http://schemas.openxmlformats.org/officeDocument/2006/relationships/hyperlink" Target="https://taxtron.ca/blog/Capital_Cost_Allowance_CCA_and_CCA_Classes" TargetMode="External"/><Relationship Id="rId4" Type="http://schemas.openxmlformats.org/officeDocument/2006/relationships/hyperlink" Target="https://www2.gov.bc.ca/gov/content/taxes/sales-taxes/motor-fuel-carbon-tax/publications/carbon-tax-rates-by-fuel-type?utm_source=chatgpt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7" Type="http://schemas.microsoft.com/office/2017/10/relationships/threadedComment" Target="../threadedComments/threadedComment2.xml"/><Relationship Id="rId2" Type="http://schemas.openxmlformats.org/officeDocument/2006/relationships/hyperlink" Target="https://www150.statcan.gc.ca/t1/tbl1/en/tv.action?pid=1810000101&amp;pickMembers%5B0%5D=2.2&amp;cubeTimeFrame.startMonth=01&amp;cubeTimeFrame.startYear=2025&amp;cubeTimeFrame.endMonth=05&amp;cubeTimeFrame.endYear=2025&amp;referencePeriods=20250101%2C20250501" TargetMode="External"/><Relationship Id="rId1" Type="http://schemas.openxmlformats.org/officeDocument/2006/relationships/hyperlink" Target="https://www.hydroquebec.com/data/documents-donnees/pdf/comparison-electricity-prices.pdf" TargetMode="External"/><Relationship Id="rId6" Type="http://schemas.openxmlformats.org/officeDocument/2006/relationships/comments" Target="../comments2.xml"/><Relationship Id="rId5" Type="http://schemas.openxmlformats.org/officeDocument/2006/relationships/table" Target="../tables/table2.xml"/><Relationship Id="rId4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0652D-47F8-4E3C-B901-B4E2BB3AB9D1}">
  <sheetPr>
    <pageSetUpPr fitToPage="1"/>
  </sheetPr>
  <dimension ref="A1:U192"/>
  <sheetViews>
    <sheetView tabSelected="1" topLeftCell="A8" zoomScale="55" zoomScaleNormal="55" workbookViewId="0">
      <selection activeCell="G23" sqref="G23"/>
    </sheetView>
  </sheetViews>
  <sheetFormatPr defaultColWidth="9.140625" defaultRowHeight="15" customHeight="1"/>
  <cols>
    <col min="1" max="1" width="6.7109375" style="25" customWidth="1"/>
    <col min="2" max="2" width="50.42578125" style="19" bestFit="1" customWidth="1"/>
    <col min="3" max="3" width="47.85546875" style="19" bestFit="1" customWidth="1"/>
    <col min="4" max="4" width="10.42578125" style="19" bestFit="1" customWidth="1"/>
    <col min="5" max="5" width="57.42578125" style="19" bestFit="1" customWidth="1"/>
    <col min="6" max="6" width="37" style="19" customWidth="1"/>
    <col min="7" max="7" width="20.42578125" style="19" customWidth="1"/>
    <col min="8" max="8" width="16.42578125" style="19" customWidth="1"/>
    <col min="9" max="9" width="5.7109375" style="19" customWidth="1"/>
    <col min="10" max="10" width="46.42578125" style="19" bestFit="1" customWidth="1"/>
    <col min="11" max="11" width="30.85546875" style="19" customWidth="1"/>
    <col min="12" max="12" width="22.5703125" style="19" bestFit="1" customWidth="1"/>
    <col min="13" max="13" width="11.42578125" style="19" bestFit="1" customWidth="1"/>
    <col min="14" max="14" width="6.42578125" style="19" customWidth="1"/>
    <col min="15" max="15" width="5.42578125" style="19" customWidth="1"/>
    <col min="16" max="16" width="64.85546875" style="19" customWidth="1"/>
    <col min="17" max="17" width="33.42578125" style="19" customWidth="1"/>
    <col min="18" max="18" width="31.140625" style="68" bestFit="1" customWidth="1"/>
    <col min="19" max="19" width="13.42578125" style="12" bestFit="1" customWidth="1"/>
    <col min="20" max="20" width="12.5703125" style="12" bestFit="1" customWidth="1"/>
    <col min="21" max="21" width="32.140625" style="12" bestFit="1" customWidth="1"/>
    <col min="22" max="16384" width="9.140625" style="12"/>
  </cols>
  <sheetData>
    <row r="1" spans="2:14" ht="21.75" customHeight="1">
      <c r="B1" s="250"/>
      <c r="C1" s="250"/>
      <c r="D1" s="250"/>
      <c r="E1" s="250"/>
    </row>
    <row r="2" spans="2:14" ht="42.75" customHeight="1">
      <c r="B2" s="251" t="s">
        <v>0</v>
      </c>
      <c r="C2" s="252"/>
      <c r="D2" s="21"/>
      <c r="E2" s="21"/>
    </row>
    <row r="3" spans="2:14" ht="30" customHeight="1">
      <c r="B3" s="253"/>
      <c r="C3" s="254"/>
      <c r="D3" s="21"/>
      <c r="E3" s="21"/>
    </row>
    <row r="4" spans="2:14" ht="18">
      <c r="B4" s="21"/>
      <c r="C4" s="21"/>
      <c r="D4" s="21"/>
      <c r="E4" s="21"/>
    </row>
    <row r="5" spans="2:14" ht="23.1">
      <c r="B5" s="255" t="s">
        <v>1</v>
      </c>
      <c r="C5" s="256"/>
      <c r="D5" s="61"/>
      <c r="E5" s="232" t="s">
        <v>2</v>
      </c>
      <c r="F5" s="232"/>
      <c r="G5" s="232"/>
      <c r="H5" s="232"/>
      <c r="I5" s="62"/>
      <c r="J5" s="232" t="s">
        <v>3</v>
      </c>
      <c r="K5" s="232"/>
      <c r="L5" s="232"/>
      <c r="M5" s="232"/>
    </row>
    <row r="6" spans="2:14" ht="23.1">
      <c r="B6" s="103" t="s">
        <v>4</v>
      </c>
      <c r="C6" s="104"/>
      <c r="D6" s="25"/>
      <c r="E6" s="111" t="s">
        <v>5</v>
      </c>
      <c r="F6" s="111" t="s">
        <v>6</v>
      </c>
      <c r="G6" s="112" t="s">
        <v>7</v>
      </c>
      <c r="H6" s="112" t="s">
        <v>8</v>
      </c>
      <c r="I6" s="64"/>
      <c r="J6" s="111" t="s">
        <v>5</v>
      </c>
      <c r="K6" s="113" t="s">
        <v>9</v>
      </c>
      <c r="L6" s="114" t="s">
        <v>10</v>
      </c>
      <c r="M6" s="114" t="s">
        <v>11</v>
      </c>
    </row>
    <row r="7" spans="2:14" ht="23.1">
      <c r="B7" s="105" t="s">
        <v>12</v>
      </c>
      <c r="C7" s="109">
        <v>200</v>
      </c>
      <c r="D7" s="63"/>
      <c r="E7" s="115" t="str" cm="1">
        <f t="array" ref="E7:E16">IFERROR(INDEX(_xlfn._xlws.FILTER(EV_DB[Make &amp; Model],
(EV_DB[Category]=C9) *
(EV_DB[Range (km)]&gt;=C7) *
(EV_DB[Max Payload, lbs.]&gt;=C8) *
(EV_DB[Refrigerated Unit]=C10) *
((EV_DB[Range (km)]&lt;&gt;"") *
(EV_DB[Max Payload, lbs.]&lt;&gt;"")),
"No EV Matches Your Duty Cycle"), _xlfn.SEQUENCE(10,1)), "")</f>
        <v xml:space="preserve">Ram Electric 1500 Large Battery </v>
      </c>
      <c r="F7" s="116" t="str" cm="1">
        <f t="array" ref="F7:F16">IFERROR(INDEX(_xlfn._xlws.FILTER(EV_DB[Type/Use Case],
(EV_DB[Category]=C9) *
(EV_DB[Range (km)]&gt;=C7) *
(EV_DB[Max Payload, lbs.]&gt;=C8) *
(EV_DB[Refrigerated Unit]=C10) *
((EV_DB[Range (km)]&lt;&gt;"") *
(EV_DB[Max Payload, lbs.]&lt;&gt;"")),
"No EV Matches Your Duty Cycle"), _xlfn.SEQUENCE(10,1)), "")</f>
        <v>Pick-up truck</v>
      </c>
      <c r="G7" s="116" cm="1">
        <f t="array" ref="G7:G16">IFERROR(INDEX(_xlfn._xlws.FILTER(EV_DB[Cost, $MSRP
CAD],
(EV_DB[Category]=C9) *
(EV_DB[Range (km)]&gt;=C7) *
(EV_DB[Max Payload, lbs.]&gt;=C8) *
(EV_DB[Refrigerated Unit]=C10) *
((EV_DB[Range (km)]&lt;&gt;"") *
(EV_DB[Max Payload, lbs.]&lt;&gt;"")),
"No EV Matches Your Duty Cycle"), _xlfn.SEQUENCE(10,1)), "")</f>
        <v>81085</v>
      </c>
      <c r="H7" s="116" t="str" cm="1">
        <f t="array" ref="H7:H16">IFERROR(INDEX(_xlfn._xlws.FILTER(EV_DB[Battery Size, kWh],
(EV_DB[Category]=C9) *
(EV_DB[Range (km)]&gt;=C7) *
(EV_DB[Max Payload, lbs.]&gt;=C8) *
(EV_DB[Refrigerated Unit]=C10) *
((EV_DB[Range (km)]&lt;&gt;"") *
(EV_DB[Max Payload, lbs.]&lt;&gt;"")),
"No EV Matches Your Duty Cycle"), _xlfn.SEQUENCE(10,1)), "")</f>
        <v>229kwh</v>
      </c>
      <c r="I7" s="64"/>
      <c r="J7" s="115" t="str" cm="1">
        <f t="array" ref="J7:J16">IFERROR(INDEX(_xlfn._xlws.FILTER(ICE_DB[Make + Model], (ICE_DB[Category]=C9) * (ICE_DB[Payload (lbs)]&gt;=C8) * (ICE_DB[Payload (lbs)]&lt;&gt;""), "No ICE vehicle in our database matches Your Duty Cycle"), _xlfn.SEQUENCE(10,1)), "")</f>
        <v>Ford Transit</v>
      </c>
      <c r="K7" s="116" cm="1">
        <f t="array" ref="K7:K16">IFERROR(INDEX(_xlfn._xlws.FILTER(ICE_DB[Purchase price ($ CAD)], (ICE_DB[Category]=C9) * (ICE_DB[Payload (lbs)]&gt;=C8) * (ICE_DB[Payload (lbs)]&lt;&gt;""), "No ICE vehicle in our database matches Your Duty Cycle"), _xlfn.SEQUENCE(10,1)), "")</f>
        <v>68580</v>
      </c>
      <c r="L7" s="184" cm="1">
        <f t="array" ref="L7:L16">IFERROR(INDEX(_xlfn._xlws.FILTER(ICE_DB[Payload (lbs)], (ICE_DB[Category]=C9) * (ICE_DB[Payload (lbs)]&gt;=C8) * (ICE_DB[Payload (lbs)]&lt;&gt;""), "No ICE vehicle in our database matches Your Duty Cycle"), _xlfn.SEQUENCE(10,1)), "")</f>
        <v>3148</v>
      </c>
      <c r="M7" s="117" t="str" cm="1">
        <f t="array" ref="M7:M16">IFERROR(INDEX(_xlfn._xlws.FILTER(ICE_DB[Fuel type], (ICE_DB[Category]=C9) * (ICE_DB[Payload (lbs)]&gt;=C8) * (ICE_DB[Payload (lbs)]&lt;&gt;""), "No ICE vehicle in our database matches Your Duty Cycle"), _xlfn.SEQUENCE(10,1)), "")</f>
        <v>Diesel</v>
      </c>
    </row>
    <row r="8" spans="2:14" ht="23.1">
      <c r="B8" s="105" t="s">
        <v>13</v>
      </c>
      <c r="C8" s="109">
        <v>500</v>
      </c>
      <c r="D8" s="63"/>
      <c r="E8" s="138" t="str">
        <v>GMC  GMC Sierra EV Denali Edition 1</v>
      </c>
      <c r="F8" s="116" t="str">
        <v>Pick-up truck</v>
      </c>
      <c r="G8" s="116">
        <v>92290</v>
      </c>
      <c r="H8" s="193" t="str">
        <v>205kwh</v>
      </c>
      <c r="I8" s="64"/>
      <c r="J8" s="116" t="str">
        <v>Ford Transit High Roof Refrigerated</v>
      </c>
      <c r="K8" s="116">
        <v>71000</v>
      </c>
      <c r="L8" s="185">
        <v>4000</v>
      </c>
      <c r="M8" s="115" t="str">
        <v>Gasoline</v>
      </c>
    </row>
    <row r="9" spans="2:14" ht="23.1">
      <c r="B9" s="106" t="s">
        <v>14</v>
      </c>
      <c r="C9" s="110" t="s">
        <v>15</v>
      </c>
      <c r="D9" s="63"/>
      <c r="E9" s="115" t="str">
        <v>Chevrolet Silverado EV 3WT Max Range</v>
      </c>
      <c r="F9" s="116" t="str">
        <v>Pick-up truck</v>
      </c>
      <c r="G9" s="116">
        <v>85833</v>
      </c>
      <c r="H9" s="116" t="str">
        <v>205kwh</v>
      </c>
      <c r="I9" s="64"/>
      <c r="J9" s="116" t="str">
        <v xml:space="preserve">Mercedes Sprinter Cargo Van Low Roof </v>
      </c>
      <c r="K9" s="116">
        <v>59980</v>
      </c>
      <c r="L9" s="185">
        <v>3780</v>
      </c>
      <c r="M9" s="115" t="str">
        <v>Gasoline</v>
      </c>
      <c r="N9" s="25"/>
    </row>
    <row r="10" spans="2:14" ht="23.1">
      <c r="B10" s="106" t="s">
        <v>16</v>
      </c>
      <c r="C10" s="110" t="s">
        <v>17</v>
      </c>
      <c r="D10" s="25"/>
      <c r="E10" s="115" t="str">
        <v xml:space="preserve">Chevrolet Silverado EV LT E4WD </v>
      </c>
      <c r="F10" s="116" t="str">
        <v>Pick-up truck</v>
      </c>
      <c r="G10" s="116">
        <v>95833</v>
      </c>
      <c r="H10" s="116" t="str">
        <v>170kwh</v>
      </c>
      <c r="I10" s="64"/>
      <c r="J10" s="115" t="str">
        <v xml:space="preserve">Mercedes Sprinter Cargo Van High Roof </v>
      </c>
      <c r="K10" s="116">
        <v>67400</v>
      </c>
      <c r="L10" s="186">
        <v>4210</v>
      </c>
      <c r="M10" s="118" t="str">
        <v>Diesel</v>
      </c>
      <c r="N10" s="25"/>
    </row>
    <row r="11" spans="2:14" ht="23.1">
      <c r="D11" s="25"/>
      <c r="E11" s="115" t="str">
        <v>Ford  F 150 Lightning</v>
      </c>
      <c r="F11" s="116" t="str">
        <v>Pick-up truck</v>
      </c>
      <c r="G11" s="116">
        <v>62890</v>
      </c>
      <c r="H11" s="116" t="str">
        <v xml:space="preserve">98 kWh </v>
      </c>
      <c r="I11" s="64"/>
      <c r="J11" s="115" t="str">
        <v xml:space="preserve">Ford F-150 </v>
      </c>
      <c r="K11" s="116">
        <v>54000</v>
      </c>
      <c r="L11" s="186">
        <v>3325</v>
      </c>
      <c r="M11" s="118" t="str">
        <v>Gasoline</v>
      </c>
      <c r="N11" s="25"/>
    </row>
    <row r="12" spans="2:14" ht="23.1">
      <c r="D12" s="63"/>
      <c r="E12" s="115" t="str">
        <v>Ford  F 150 Lightning Flash and Lariat</v>
      </c>
      <c r="F12" s="116" t="str">
        <v>Pick-up truck</v>
      </c>
      <c r="G12" s="116">
        <v>79090</v>
      </c>
      <c r="H12" s="116" t="str">
        <v>131 kWh</v>
      </c>
      <c r="I12" s="64"/>
      <c r="J12" s="115" t="str">
        <v xml:space="preserve">Chevy Silverado 1500 WT </v>
      </c>
      <c r="K12" s="116">
        <v>61000</v>
      </c>
      <c r="L12" s="186">
        <v>2270</v>
      </c>
      <c r="M12" s="118" t="str">
        <v>Gasoline</v>
      </c>
      <c r="N12" s="25"/>
    </row>
    <row r="13" spans="2:14" ht="23.1">
      <c r="B13" s="66"/>
      <c r="C13" s="67"/>
      <c r="D13" s="25"/>
      <c r="E13" s="115" t="str">
        <v>Mercedes-Benz  eSprinter (2500)</v>
      </c>
      <c r="F13" s="116" t="str">
        <v>Delivery van</v>
      </c>
      <c r="G13" s="116">
        <v>99500</v>
      </c>
      <c r="H13" s="116" t="str">
        <v>113 kWh</v>
      </c>
      <c r="I13" s="64"/>
      <c r="J13" s="115" t="str">
        <v>Chevrolet Express 2500 Cargo Van</v>
      </c>
      <c r="K13" s="116">
        <v>56033</v>
      </c>
      <c r="L13" s="186">
        <v>3496</v>
      </c>
      <c r="M13" s="118" t="str">
        <v>Gasoline</v>
      </c>
      <c r="N13" s="25"/>
    </row>
    <row r="14" spans="2:14" ht="23.1">
      <c r="B14" s="66"/>
      <c r="C14" s="67"/>
      <c r="D14" s="25"/>
      <c r="E14" s="115" t="str">
        <v>RAM  ProMaster Van</v>
      </c>
      <c r="F14" s="116" t="str">
        <v xml:space="preserve">Cargo van </v>
      </c>
      <c r="G14" s="116">
        <v>119000</v>
      </c>
      <c r="H14" s="116" t="str">
        <v>110kWh</v>
      </c>
      <c r="I14" s="64"/>
      <c r="J14" s="115" t="str">
        <v>Ram ProMaster Van</v>
      </c>
      <c r="K14" s="116">
        <v>80000</v>
      </c>
      <c r="L14" s="186">
        <v>4820</v>
      </c>
      <c r="M14" s="118" t="str">
        <v>Gasoline</v>
      </c>
      <c r="N14" s="25"/>
    </row>
    <row r="15" spans="2:14" ht="23.1">
      <c r="B15" s="66"/>
      <c r="C15" s="67"/>
      <c r="D15" s="25"/>
      <c r="E15" s="115" t="str">
        <v>Rivian R1T Dual</v>
      </c>
      <c r="F15" s="115" t="str">
        <v>Pick-up truck</v>
      </c>
      <c r="G15" s="116">
        <v>77900</v>
      </c>
      <c r="H15" s="219" t="str">
        <v>135 kWh</v>
      </c>
      <c r="I15" s="64"/>
      <c r="J15" s="115" t="str">
        <v>Isuzu NPR</v>
      </c>
      <c r="K15" s="116">
        <v>60000</v>
      </c>
      <c r="L15" s="186">
        <v>8800</v>
      </c>
      <c r="M15" s="118" t="str">
        <v>Gasoline</v>
      </c>
      <c r="N15" s="25"/>
    </row>
    <row r="16" spans="2:14" ht="23.1">
      <c r="B16" s="66"/>
      <c r="C16" s="67"/>
      <c r="D16" s="25"/>
      <c r="E16" s="115" t="str">
        <v>Ford E-Transit</v>
      </c>
      <c r="F16" s="115" t="str">
        <v>Cargo, delivery, work van</v>
      </c>
      <c r="G16" s="116">
        <v>68705</v>
      </c>
      <c r="H16" s="219" t="str">
        <v xml:space="preserve"> 68 kWh</v>
      </c>
      <c r="I16" s="64"/>
      <c r="J16" s="115" t="str">
        <v>Ford Escape</v>
      </c>
      <c r="K16" s="116">
        <v>36954</v>
      </c>
      <c r="L16" s="186">
        <v>1013</v>
      </c>
      <c r="M16" s="118" t="str">
        <v>Gasoline</v>
      </c>
      <c r="N16" s="25"/>
    </row>
    <row r="17" spans="2:14" ht="23.1">
      <c r="B17" s="139"/>
      <c r="C17" s="67"/>
      <c r="D17" s="25"/>
      <c r="E17" s="115"/>
      <c r="F17" s="115"/>
      <c r="G17" s="116"/>
      <c r="H17" s="116"/>
      <c r="I17" s="64"/>
      <c r="J17" s="115"/>
      <c r="K17" s="116"/>
      <c r="L17" s="116"/>
      <c r="M17" s="118"/>
      <c r="N17" s="25"/>
    </row>
    <row r="18" spans="2:14" ht="23.1">
      <c r="B18" s="241" t="s">
        <v>18</v>
      </c>
      <c r="C18" s="243"/>
      <c r="D18" s="25"/>
      <c r="E18" s="241" t="s">
        <v>19</v>
      </c>
      <c r="F18" s="243"/>
      <c r="G18" s="169" t="s">
        <v>20</v>
      </c>
      <c r="H18" s="12"/>
      <c r="I18" s="241" t="s">
        <v>21</v>
      </c>
      <c r="J18" s="242"/>
      <c r="K18" s="243"/>
      <c r="L18" s="169" t="s">
        <v>20</v>
      </c>
      <c r="M18" s="65"/>
      <c r="N18" s="25"/>
    </row>
    <row r="19" spans="2:14" ht="23.1">
      <c r="B19" s="125" t="s">
        <v>22</v>
      </c>
      <c r="C19" s="126" t="s">
        <v>23</v>
      </c>
      <c r="D19" s="63"/>
      <c r="E19" s="123" t="s">
        <v>24</v>
      </c>
      <c r="F19" s="124" t="s">
        <v>25</v>
      </c>
      <c r="G19" s="115"/>
      <c r="H19" s="25"/>
      <c r="I19" s="233" t="s">
        <v>26</v>
      </c>
      <c r="J19" s="233"/>
      <c r="K19" s="119">
        <v>0.05</v>
      </c>
      <c r="L19" s="120">
        <v>0.05</v>
      </c>
      <c r="M19" s="65"/>
      <c r="N19" s="25"/>
    </row>
    <row r="20" spans="2:14" ht="23.1">
      <c r="B20" s="127" t="s">
        <v>27</v>
      </c>
      <c r="C20" s="126" t="s">
        <v>28</v>
      </c>
      <c r="D20" s="25"/>
      <c r="E20" s="123" t="s">
        <v>29</v>
      </c>
      <c r="F20" s="220">
        <v>30000</v>
      </c>
      <c r="G20" s="122">
        <v>30000</v>
      </c>
      <c r="H20" s="25"/>
      <c r="I20" s="233" t="s">
        <v>30</v>
      </c>
      <c r="J20" s="233"/>
      <c r="K20" s="121">
        <v>7.0000000000000007E-2</v>
      </c>
      <c r="L20" s="120">
        <v>7.0000000000000007E-2</v>
      </c>
      <c r="M20" s="65"/>
      <c r="N20" s="25"/>
    </row>
    <row r="21" spans="2:14" ht="23.1">
      <c r="B21" s="128" t="s">
        <v>31</v>
      </c>
      <c r="C21" s="126" t="s">
        <v>32</v>
      </c>
      <c r="D21" s="21"/>
      <c r="E21" s="123" t="s">
        <v>33</v>
      </c>
      <c r="F21" s="110">
        <v>1</v>
      </c>
      <c r="G21" s="122">
        <v>2</v>
      </c>
      <c r="I21" s="233" t="s">
        <v>34</v>
      </c>
      <c r="J21" s="233"/>
      <c r="K21" s="110">
        <v>7</v>
      </c>
      <c r="L21" s="122">
        <v>7</v>
      </c>
    </row>
    <row r="22" spans="2:14" ht="23.1">
      <c r="B22" s="12"/>
      <c r="C22" s="12"/>
      <c r="E22" s="115"/>
      <c r="F22" s="115"/>
      <c r="G22" s="115"/>
      <c r="H22" s="12"/>
      <c r="I22" s="233" t="s">
        <v>35</v>
      </c>
      <c r="J22" s="233"/>
      <c r="K22" s="119">
        <v>0.05</v>
      </c>
      <c r="L22" s="120">
        <v>0.05</v>
      </c>
      <c r="M22"/>
    </row>
    <row r="23" spans="2:14" ht="23.1">
      <c r="B23" s="12"/>
      <c r="C23" s="12"/>
      <c r="I23" s="233" t="s">
        <v>36</v>
      </c>
      <c r="J23" s="233"/>
      <c r="K23" s="119">
        <v>7.0000000000000007E-2</v>
      </c>
      <c r="L23" s="120">
        <v>7.0000000000000007E-2</v>
      </c>
    </row>
    <row r="24" spans="2:14" ht="23.1">
      <c r="B24" s="12"/>
      <c r="C24" s="12"/>
      <c r="D24" s="107"/>
      <c r="E24" s="108"/>
      <c r="F24" s="108"/>
      <c r="G24" s="108"/>
      <c r="I24" s="233" t="s">
        <v>37</v>
      </c>
      <c r="J24" s="233"/>
      <c r="K24" s="110">
        <v>7</v>
      </c>
      <c r="L24" s="122">
        <v>7</v>
      </c>
    </row>
    <row r="25" spans="2:14" ht="18">
      <c r="B25" s="12"/>
      <c r="C25" s="12"/>
    </row>
    <row r="26" spans="2:14" ht="23.1">
      <c r="B26" s="241" t="s">
        <v>38</v>
      </c>
      <c r="C26" s="242"/>
      <c r="D26" s="242"/>
      <c r="E26" s="242"/>
      <c r="F26" s="242"/>
      <c r="G26" s="79"/>
      <c r="H26" s="79"/>
      <c r="J26" s="22"/>
      <c r="L26" s="22"/>
    </row>
    <row r="27" spans="2:14" ht="23.1">
      <c r="B27" s="115"/>
      <c r="C27" s="129" t="s">
        <v>39</v>
      </c>
      <c r="D27" s="130" t="s">
        <v>40</v>
      </c>
      <c r="E27" s="131" t="s">
        <v>41</v>
      </c>
      <c r="F27" s="129" t="s">
        <v>40</v>
      </c>
      <c r="H27" s="22"/>
      <c r="J27" s="22"/>
      <c r="L27" s="22"/>
    </row>
    <row r="28" spans="2:14" ht="23.1">
      <c r="B28" s="115" t="s">
        <v>42</v>
      </c>
      <c r="C28" s="132">
        <v>0</v>
      </c>
      <c r="D28" s="133" t="b">
        <v>0</v>
      </c>
      <c r="E28" s="132">
        <v>0</v>
      </c>
      <c r="F28" s="134" t="b">
        <v>0</v>
      </c>
      <c r="H28" s="22"/>
      <c r="J28" s="22"/>
      <c r="L28" s="22"/>
    </row>
    <row r="29" spans="2:14" ht="23.1">
      <c r="B29" s="115" t="s">
        <v>43</v>
      </c>
      <c r="C29" s="132">
        <v>0</v>
      </c>
      <c r="D29" s="133" t="b">
        <v>0</v>
      </c>
      <c r="E29" s="132">
        <v>0</v>
      </c>
      <c r="F29" s="134" t="b">
        <v>0</v>
      </c>
      <c r="H29" s="229" t="s">
        <v>44</v>
      </c>
      <c r="J29" s="231" t="s">
        <v>45</v>
      </c>
      <c r="L29" s="22"/>
    </row>
    <row r="30" spans="2:14" ht="23.1">
      <c r="B30" s="115" t="s">
        <v>46</v>
      </c>
      <c r="C30" s="132">
        <v>0</v>
      </c>
      <c r="D30" s="133" t="b">
        <v>0</v>
      </c>
      <c r="E30" s="132">
        <v>0</v>
      </c>
      <c r="F30" s="134" t="b">
        <v>0</v>
      </c>
      <c r="H30" s="228" t="s">
        <v>47</v>
      </c>
      <c r="J30" s="22" t="s">
        <v>48</v>
      </c>
      <c r="K30" s="19" t="s">
        <v>49</v>
      </c>
      <c r="L30" s="22"/>
    </row>
    <row r="31" spans="2:14" ht="23.1">
      <c r="B31" s="115" t="s">
        <v>50</v>
      </c>
      <c r="C31" s="132">
        <v>0</v>
      </c>
      <c r="D31" s="133" t="b">
        <v>0</v>
      </c>
      <c r="E31" s="132">
        <v>0</v>
      </c>
      <c r="F31" s="134" t="b">
        <v>0</v>
      </c>
      <c r="H31" s="228" t="s">
        <v>51</v>
      </c>
      <c r="J31" s="22" t="s">
        <v>52</v>
      </c>
      <c r="L31" s="22"/>
    </row>
    <row r="32" spans="2:14" ht="23.1">
      <c r="B32" s="115" t="s">
        <v>53</v>
      </c>
      <c r="C32" s="132">
        <v>0</v>
      </c>
      <c r="D32" s="133" t="b">
        <v>0</v>
      </c>
      <c r="E32" s="132">
        <v>0</v>
      </c>
      <c r="F32" s="134" t="b">
        <v>0</v>
      </c>
      <c r="H32" s="228" t="s">
        <v>54</v>
      </c>
      <c r="J32" s="22" t="s">
        <v>55</v>
      </c>
      <c r="L32" s="22"/>
    </row>
    <row r="33" spans="2:18" ht="23.1">
      <c r="B33" s="115" t="s">
        <v>56</v>
      </c>
      <c r="C33" s="132">
        <v>0</v>
      </c>
      <c r="D33" s="133" t="b">
        <v>0</v>
      </c>
      <c r="E33" s="132">
        <v>0</v>
      </c>
      <c r="F33" s="134" t="b">
        <v>0</v>
      </c>
      <c r="H33" s="22"/>
      <c r="J33" s="22" t="s">
        <v>57</v>
      </c>
      <c r="L33" s="22"/>
    </row>
    <row r="34" spans="2:18" ht="15" customHeight="1">
      <c r="B34" s="115"/>
      <c r="C34" s="122"/>
      <c r="D34" s="115"/>
      <c r="E34" s="122"/>
      <c r="F34" s="115"/>
    </row>
    <row r="35" spans="2:18" ht="18">
      <c r="C35" s="21"/>
      <c r="E35" s="21"/>
    </row>
    <row r="36" spans="2:18" ht="50.1">
      <c r="B36" s="234" t="s">
        <v>58</v>
      </c>
      <c r="C36" s="234"/>
      <c r="D36" s="234"/>
      <c r="E36" s="234"/>
      <c r="F36" s="234"/>
      <c r="G36" s="234"/>
      <c r="H36" s="234"/>
      <c r="I36" s="234"/>
      <c r="J36" s="234"/>
      <c r="K36" s="234"/>
      <c r="L36" s="234"/>
      <c r="M36" s="234"/>
      <c r="N36" s="234"/>
      <c r="O36" s="234"/>
      <c r="P36" s="234"/>
      <c r="Q36" s="234"/>
      <c r="R36" s="234"/>
    </row>
    <row r="37" spans="2:18" ht="18">
      <c r="B37" s="23"/>
    </row>
    <row r="38" spans="2:18" ht="27.6">
      <c r="P38" s="235" t="s">
        <v>59</v>
      </c>
      <c r="Q38" s="236"/>
      <c r="R38" s="237"/>
    </row>
    <row r="39" spans="2:18" ht="27.6" customHeight="1">
      <c r="H39" s="24"/>
      <c r="P39" s="238">
        <f>'Cost analysis - purchase'!P12/('TCO Dashboard'!F20*10)</f>
        <v>0.56165840745961659</v>
      </c>
      <c r="Q39" s="239"/>
      <c r="R39" s="240"/>
    </row>
    <row r="40" spans="2:18" ht="27.6">
      <c r="P40" s="244" t="s">
        <v>60</v>
      </c>
      <c r="Q40" s="245"/>
      <c r="R40" s="246"/>
    </row>
    <row r="41" spans="2:18" ht="27.6">
      <c r="P41" s="238">
        <f>'Cost analysis - purchase'!AC12/('TCO Dashboard'!F20*10)</f>
        <v>0.48312363885278675</v>
      </c>
      <c r="Q41" s="239"/>
      <c r="R41" s="240"/>
    </row>
    <row r="42" spans="2:18" ht="27.6">
      <c r="P42" s="247" t="s">
        <v>61</v>
      </c>
      <c r="Q42" s="248"/>
      <c r="R42" s="249"/>
    </row>
    <row r="43" spans="2:18" ht="27.6">
      <c r="P43" s="257">
        <f>'Cost analysis - purchase'!P12-'Cost analysis - purchase'!AC12</f>
        <v>23560.430582048954</v>
      </c>
      <c r="Q43" s="258"/>
      <c r="R43" s="259"/>
    </row>
    <row r="44" spans="2:18" ht="20.100000000000001" customHeight="1">
      <c r="P44" s="135"/>
      <c r="Q44" s="135"/>
      <c r="R44" s="135"/>
    </row>
    <row r="45" spans="2:18" ht="20.100000000000001" customHeight="1">
      <c r="P45" s="135"/>
      <c r="Q45" s="135"/>
      <c r="R45" s="135"/>
    </row>
    <row r="46" spans="2:18" ht="20.100000000000001" customHeight="1">
      <c r="P46" s="135"/>
      <c r="Q46" s="135"/>
      <c r="R46" s="135"/>
    </row>
    <row r="47" spans="2:18" ht="18"/>
    <row r="48" spans="2:18" ht="27.6">
      <c r="P48" s="140"/>
      <c r="Q48" s="141" t="s">
        <v>39</v>
      </c>
      <c r="R48" s="142" t="s">
        <v>41</v>
      </c>
    </row>
    <row r="49" spans="16:18" ht="27.6">
      <c r="P49" s="143" t="s">
        <v>62</v>
      </c>
      <c r="Q49" s="144">
        <f>C7</f>
        <v>200</v>
      </c>
      <c r="R49" s="145">
        <f>C7</f>
        <v>200</v>
      </c>
    </row>
    <row r="50" spans="16:18" ht="27.6">
      <c r="P50" s="143" t="s">
        <v>63</v>
      </c>
      <c r="Q50" s="146">
        <f>F20</f>
        <v>30000</v>
      </c>
      <c r="R50" s="147">
        <f>F20</f>
        <v>30000</v>
      </c>
    </row>
    <row r="51" spans="16:18" ht="27.6">
      <c r="P51" s="148"/>
      <c r="Q51" s="146"/>
      <c r="R51" s="147"/>
    </row>
    <row r="52" spans="16:18" ht="27.6">
      <c r="P52" s="148" t="s">
        <v>64</v>
      </c>
      <c r="Q52" s="149">
        <f>'Cost analysis - purchase'!B6</f>
        <v>54000</v>
      </c>
      <c r="R52" s="150">
        <f>'Cost analysis - purchase'!B7</f>
        <v>95833</v>
      </c>
    </row>
    <row r="53" spans="16:18" ht="27.6">
      <c r="P53" s="148" t="s">
        <v>65</v>
      </c>
      <c r="Q53" s="149">
        <f>'Cost analysis - purchase'!B51</f>
        <v>0</v>
      </c>
      <c r="R53" s="150">
        <f>'Cost analysis - purchase'!B50</f>
        <v>10000</v>
      </c>
    </row>
    <row r="54" spans="16:18" ht="27.6">
      <c r="P54" s="148" t="s">
        <v>66</v>
      </c>
      <c r="Q54" s="149">
        <f>'Cost analysis - purchase'!O4</f>
        <v>1620</v>
      </c>
      <c r="R54" s="150">
        <f>'Cost analysis - purchase'!AB4</f>
        <v>3833.32</v>
      </c>
    </row>
    <row r="55" spans="16:18" ht="27.6">
      <c r="P55" s="148" t="s">
        <v>67</v>
      </c>
      <c r="Q55" s="149">
        <f>'Cost analysis - purchase'!N30</f>
        <v>-18838.61830546875</v>
      </c>
      <c r="R55" s="150">
        <f>'Cost analysis - purchase'!AC30</f>
        <v>-33432.616816073831</v>
      </c>
    </row>
    <row r="56" spans="16:18" ht="27.6">
      <c r="P56" s="151" t="s">
        <v>68</v>
      </c>
      <c r="Q56" s="152">
        <f>Q52-Q53+Q54</f>
        <v>55620</v>
      </c>
      <c r="R56" s="153">
        <f>R52-R53+R54</f>
        <v>89666.32</v>
      </c>
    </row>
    <row r="57" spans="16:18" ht="27.6">
      <c r="P57" s="148"/>
      <c r="Q57" s="146"/>
      <c r="R57" s="147"/>
    </row>
    <row r="58" spans="16:18" ht="27.6">
      <c r="P58" s="148" t="s">
        <v>69</v>
      </c>
      <c r="Q58" s="162">
        <v>0</v>
      </c>
      <c r="R58" s="150">
        <f>'Cost analysis - purchase'!B37*'Cost analysis - purchase'!B38</f>
        <v>15214.071599999999</v>
      </c>
    </row>
    <row r="59" spans="16:18" ht="27.6">
      <c r="P59" s="148" t="s">
        <v>70</v>
      </c>
      <c r="Q59" s="149">
        <v>0</v>
      </c>
      <c r="R59" s="150">
        <f>'Cost analysis - purchase'!B52</f>
        <v>0</v>
      </c>
    </row>
    <row r="60" spans="16:18" ht="27.6">
      <c r="P60" s="148" t="s">
        <v>71</v>
      </c>
      <c r="Q60" s="162">
        <v>0</v>
      </c>
      <c r="R60" s="147">
        <v>4</v>
      </c>
    </row>
    <row r="61" spans="16:18" ht="27.6">
      <c r="P61" s="148" t="s">
        <v>67</v>
      </c>
      <c r="Q61" s="162">
        <v>0</v>
      </c>
      <c r="R61" s="150">
        <f>'Cost analysis - purchase'!AA12</f>
        <v>-1521.4322632181393</v>
      </c>
    </row>
    <row r="62" spans="16:18" ht="27.6">
      <c r="P62" s="151" t="s">
        <v>72</v>
      </c>
      <c r="Q62" s="154">
        <v>0</v>
      </c>
      <c r="R62" s="155">
        <f>R58-R59</f>
        <v>15214.071599999999</v>
      </c>
    </row>
    <row r="63" spans="16:18" ht="27.6">
      <c r="P63" s="148"/>
      <c r="Q63" s="146"/>
      <c r="R63" s="147"/>
    </row>
    <row r="64" spans="16:18" ht="27.6">
      <c r="P64" s="143" t="s">
        <v>73</v>
      </c>
      <c r="Q64" s="149">
        <f>'Cost analysis - purchase'!B9</f>
        <v>1.4590000000000001</v>
      </c>
      <c r="R64" s="150">
        <f>'Cost analysis - purchase'!B10</f>
        <v>0.1784</v>
      </c>
    </row>
    <row r="65" spans="16:21" ht="33.6">
      <c r="P65" s="143" t="s">
        <v>74</v>
      </c>
      <c r="Q65" s="146">
        <f>'Cost analysis - purchase'!B20</f>
        <v>0.11899999999999999</v>
      </c>
      <c r="R65" s="147">
        <v>0.4</v>
      </c>
      <c r="U65" s="187"/>
    </row>
    <row r="66" spans="16:21" ht="27.6">
      <c r="P66" s="143" t="s">
        <v>75</v>
      </c>
      <c r="Q66" s="146">
        <f>Q65*Q50</f>
        <v>3570</v>
      </c>
      <c r="R66" s="147">
        <f>R65*R50</f>
        <v>12000</v>
      </c>
    </row>
    <row r="67" spans="16:21" ht="27.6">
      <c r="P67" s="151" t="s">
        <v>76</v>
      </c>
      <c r="Q67" s="154">
        <f>Q64*Q66</f>
        <v>5208.63</v>
      </c>
      <c r="R67" s="155">
        <f>R66*R64</f>
        <v>2140.8000000000002</v>
      </c>
    </row>
    <row r="68" spans="16:21" ht="27.6">
      <c r="P68" s="148"/>
      <c r="Q68" s="146"/>
      <c r="R68" s="147"/>
    </row>
    <row r="69" spans="16:21" ht="27.6">
      <c r="P69" s="148" t="s">
        <v>77</v>
      </c>
      <c r="Q69" s="149">
        <f>'Cost analysis - purchase'!B14</f>
        <v>0.35</v>
      </c>
      <c r="R69" s="150">
        <f>'Cost analysis - purchase'!B15</f>
        <v>0.18</v>
      </c>
    </row>
    <row r="70" spans="16:21" ht="27.6">
      <c r="P70" s="151" t="s">
        <v>78</v>
      </c>
      <c r="Q70" s="154">
        <f>Q69*Q50</f>
        <v>10500</v>
      </c>
      <c r="R70" s="155">
        <f>R69*R50</f>
        <v>5400</v>
      </c>
    </row>
    <row r="71" spans="16:21" ht="27.6">
      <c r="P71" s="148"/>
      <c r="Q71" s="146"/>
      <c r="R71" s="147"/>
    </row>
    <row r="72" spans="16:21" ht="27.6">
      <c r="P72" s="148" t="s">
        <v>79</v>
      </c>
      <c r="Q72" s="146"/>
      <c r="R72" s="147">
        <v>6</v>
      </c>
    </row>
    <row r="73" spans="16:21" ht="27.6">
      <c r="P73" s="148" t="s">
        <v>80</v>
      </c>
      <c r="Q73" s="146"/>
      <c r="R73" s="150">
        <v>120</v>
      </c>
    </row>
    <row r="74" spans="16:21" ht="27.6">
      <c r="P74" s="148" t="s">
        <v>81</v>
      </c>
      <c r="Q74" s="146"/>
      <c r="R74" s="150">
        <f>'Cost analysis - purchase'!B43</f>
        <v>0</v>
      </c>
    </row>
    <row r="75" spans="16:21" ht="27.6">
      <c r="P75" s="156" t="s">
        <v>82</v>
      </c>
      <c r="Q75" s="154">
        <v>0</v>
      </c>
      <c r="R75" s="155">
        <f xml:space="preserve"> 'Cost analysis - purchase'!U4</f>
        <v>-1820.3388033599997</v>
      </c>
    </row>
    <row r="76" spans="16:21" ht="27.6">
      <c r="P76" s="148"/>
      <c r="Q76" s="146"/>
      <c r="R76" s="147"/>
    </row>
    <row r="77" spans="16:21" ht="27.6">
      <c r="P77" s="148" t="s">
        <v>83</v>
      </c>
      <c r="Q77" s="149">
        <f>SUM('Cost analysis - purchase'!I12+'Cost analysis - purchase'!M12+'Cost analysis - purchase'!O12)</f>
        <v>48028.837232812497</v>
      </c>
      <c r="R77" s="150">
        <f>SUM('Cost analysis - purchase'!S12+'Cost analysis - purchase'!Z12+'Cost analysis - purchase'!AB12,'Cost analysis - purchase'!T12)</f>
        <v>81944.375898742976</v>
      </c>
    </row>
    <row r="78" spans="16:21" ht="27.6">
      <c r="P78" s="148" t="s">
        <v>84</v>
      </c>
      <c r="Q78" s="149">
        <f>SUM('Cost analysis - purchase'!J12)</f>
        <v>42408.709489200475</v>
      </c>
      <c r="R78" s="150">
        <f>SUM('Cost analysis - purchase'!V12)</f>
        <v>12630.925258273419</v>
      </c>
    </row>
    <row r="79" spans="16:21" ht="27.6">
      <c r="P79" s="148" t="s">
        <v>85</v>
      </c>
      <c r="Q79" s="146">
        <v>0</v>
      </c>
      <c r="R79" s="150">
        <f>SUM('Cost analysis - purchase'!X12,'Cost analysis - purchase'!Y12)+'Cost analysis - purchase'!AA12</f>
        <v>17973.999384781859</v>
      </c>
    </row>
    <row r="80" spans="16:21" ht="27.6">
      <c r="P80" s="148" t="s">
        <v>86</v>
      </c>
      <c r="Q80" s="149">
        <f>SUM('Cost analysis - purchase'!L12)</f>
        <v>78059.975515872007</v>
      </c>
      <c r="R80" s="150">
        <f>'Cost analysis - purchase'!W12</f>
        <v>40145.130265305597</v>
      </c>
    </row>
    <row r="81" spans="2:18" ht="27.6">
      <c r="P81" s="148" t="s">
        <v>87</v>
      </c>
      <c r="Q81" s="149">
        <v>0</v>
      </c>
      <c r="R81" s="150">
        <f>SUM('Cost analysis - purchase'!U12)</f>
        <v>-7757.3391512678236</v>
      </c>
    </row>
    <row r="82" spans="2:18" ht="27.6">
      <c r="P82" s="157" t="s">
        <v>88</v>
      </c>
      <c r="Q82" s="158">
        <f>SUM(Q77:Q81)</f>
        <v>168497.52223788499</v>
      </c>
      <c r="R82" s="159">
        <f>SUM(R77:R81)</f>
        <v>144937.091655836</v>
      </c>
    </row>
    <row r="83" spans="2:18" ht="21.6">
      <c r="P83" s="136"/>
      <c r="Q83" s="137"/>
      <c r="R83" s="137"/>
    </row>
    <row r="84" spans="2:18" ht="21.6">
      <c r="P84" s="136"/>
      <c r="Q84" s="137"/>
      <c r="R84" s="137"/>
    </row>
    <row r="85" spans="2:18" ht="21.6">
      <c r="P85" s="136"/>
      <c r="Q85" s="137"/>
      <c r="R85" s="137"/>
    </row>
    <row r="86" spans="2:18" ht="21.6">
      <c r="P86" s="136"/>
      <c r="Q86" s="137"/>
      <c r="R86" s="137"/>
    </row>
    <row r="87" spans="2:18" ht="18">
      <c r="P87" s="100"/>
      <c r="Q87" s="101"/>
      <c r="R87" s="102"/>
    </row>
    <row r="88" spans="2:18" ht="50.1">
      <c r="B88" s="234" t="s">
        <v>89</v>
      </c>
      <c r="C88" s="234"/>
      <c r="D88" s="234"/>
      <c r="E88" s="234"/>
      <c r="F88" s="234"/>
      <c r="G88" s="234"/>
      <c r="H88" s="234"/>
      <c r="I88" s="234"/>
      <c r="J88" s="234"/>
      <c r="K88" s="234"/>
      <c r="L88" s="234"/>
      <c r="M88" s="234"/>
      <c r="N88" s="234"/>
      <c r="O88" s="234"/>
      <c r="P88" s="234"/>
      <c r="Q88" s="234"/>
      <c r="R88" s="234"/>
    </row>
    <row r="90" spans="2:18" ht="27.6">
      <c r="B90" s="12"/>
      <c r="P90" s="235" t="s">
        <v>59</v>
      </c>
      <c r="Q90" s="236"/>
      <c r="R90" s="237"/>
    </row>
    <row r="91" spans="2:18" ht="27.6">
      <c r="B91" s="12"/>
      <c r="P91" s="238">
        <f>'Cost analysis - purchase'!Q30/('TCO Dashboard'!F20*10)</f>
        <v>0.60235814426284751</v>
      </c>
      <c r="Q91" s="239"/>
      <c r="R91" s="240"/>
    </row>
    <row r="92" spans="2:18" ht="27.6">
      <c r="B92" s="12"/>
      <c r="P92" s="244" t="s">
        <v>60</v>
      </c>
      <c r="Q92" s="245"/>
      <c r="R92" s="246"/>
    </row>
    <row r="93" spans="2:18" ht="27.6">
      <c r="B93" s="12"/>
      <c r="P93" s="238">
        <f>'Cost analysis - purchase'!AF30/('TCO Dashboard'!F20*10)</f>
        <v>0.54642668818161999</v>
      </c>
      <c r="Q93" s="239"/>
      <c r="R93" s="240"/>
    </row>
    <row r="94" spans="2:18" ht="27.6">
      <c r="B94" s="12"/>
      <c r="P94" s="247" t="s">
        <v>90</v>
      </c>
      <c r="Q94" s="248"/>
      <c r="R94" s="249"/>
    </row>
    <row r="95" spans="2:18" ht="27.6">
      <c r="B95" s="12"/>
      <c r="P95" s="257">
        <f>'Cost analysis - purchase'!Q30-'Cost analysis - purchase'!AF30</f>
        <v>16779.436824368255</v>
      </c>
      <c r="Q95" s="258"/>
      <c r="R95" s="259"/>
    </row>
    <row r="96" spans="2:18" ht="33" customHeight="1"/>
    <row r="97" spans="16:18" ht="27.6">
      <c r="P97" s="140"/>
      <c r="Q97" s="141" t="s">
        <v>39</v>
      </c>
      <c r="R97" s="160" t="s">
        <v>41</v>
      </c>
    </row>
    <row r="98" spans="16:18" ht="27.6">
      <c r="P98" s="143" t="s">
        <v>62</v>
      </c>
      <c r="Q98" s="149">
        <f>C7</f>
        <v>200</v>
      </c>
      <c r="R98" s="150">
        <f>C7</f>
        <v>200</v>
      </c>
    </row>
    <row r="99" spans="16:18" ht="27.6">
      <c r="P99" s="143" t="s">
        <v>63</v>
      </c>
      <c r="Q99" s="149">
        <f>F20</f>
        <v>30000</v>
      </c>
      <c r="R99" s="150">
        <f>F20</f>
        <v>30000</v>
      </c>
    </row>
    <row r="100" spans="16:18" ht="27.6">
      <c r="P100" s="148"/>
      <c r="Q100" s="149"/>
      <c r="R100" s="150"/>
    </row>
    <row r="101" spans="16:18" ht="27.6">
      <c r="P101" s="148" t="s">
        <v>64</v>
      </c>
      <c r="Q101" s="149">
        <f>'Cost analysis - purchase'!B6</f>
        <v>54000</v>
      </c>
      <c r="R101" s="150">
        <f>'Cost analysis - purchase'!B7</f>
        <v>95833</v>
      </c>
    </row>
    <row r="102" spans="16:18" ht="27.6">
      <c r="P102" s="148" t="s">
        <v>91</v>
      </c>
      <c r="Q102" s="149">
        <f>'Cost analysis - purchase'!I22</f>
        <v>2700</v>
      </c>
      <c r="R102" s="150">
        <f>'Cost analysis - purchase'!T22</f>
        <v>4791.6500000000005</v>
      </c>
    </row>
    <row r="103" spans="16:18" ht="27.6">
      <c r="P103" s="148" t="s">
        <v>92</v>
      </c>
      <c r="Q103" s="149">
        <f>'Cost analysis - purchase'!J22/12</f>
        <v>774.25448308631587</v>
      </c>
      <c r="R103" s="150">
        <f>'Cost analysis - purchase'!U22/12</f>
        <v>1223.1311608746046</v>
      </c>
    </row>
    <row r="104" spans="16:18" ht="27.6">
      <c r="P104" s="148" t="s">
        <v>65</v>
      </c>
      <c r="Q104" s="149">
        <f>'Cost analysis - purchase'!B51</f>
        <v>0</v>
      </c>
      <c r="R104" s="150">
        <f>'Cost analysis - purchase'!B50</f>
        <v>10000</v>
      </c>
    </row>
    <row r="105" spans="16:18" ht="27.6">
      <c r="P105" s="148" t="s">
        <v>66</v>
      </c>
      <c r="Q105" s="149">
        <f>'Cost analysis - purchase'!O4</f>
        <v>1620</v>
      </c>
      <c r="R105" s="150">
        <f>'Cost analysis - purchase'!AB4</f>
        <v>3833.32</v>
      </c>
    </row>
    <row r="106" spans="16:18" ht="27.6">
      <c r="P106" s="148" t="s">
        <v>67</v>
      </c>
      <c r="Q106" s="149">
        <f>'Cost analysis - purchase'!N30</f>
        <v>-18838.61830546875</v>
      </c>
      <c r="R106" s="150">
        <f>'Cost analysis - purchase'!AC30</f>
        <v>-33432.616816073831</v>
      </c>
    </row>
    <row r="107" spans="16:18" ht="27.6">
      <c r="P107" s="151" t="s">
        <v>68</v>
      </c>
      <c r="Q107" s="152">
        <f>Q102+Q105+(Q103*12)</f>
        <v>13611.053797035791</v>
      </c>
      <c r="R107" s="153">
        <f>R102+R105+(R103*12)</f>
        <v>23302.543930495256</v>
      </c>
    </row>
    <row r="108" spans="16:18" ht="27.6">
      <c r="P108" s="148"/>
      <c r="Q108" s="146"/>
      <c r="R108" s="147"/>
    </row>
    <row r="109" spans="16:18" ht="27.6">
      <c r="P109" s="148" t="s">
        <v>69</v>
      </c>
      <c r="Q109" s="162">
        <v>0</v>
      </c>
      <c r="R109" s="150">
        <f>'Cost analysis - purchase'!B37*'Cost analysis - purchase'!B38</f>
        <v>15214.071599999999</v>
      </c>
    </row>
    <row r="110" spans="16:18" ht="27.6">
      <c r="P110" s="148" t="s">
        <v>70</v>
      </c>
      <c r="Q110" s="149">
        <v>0</v>
      </c>
      <c r="R110" s="150">
        <f>'Cost analysis - purchase'!B52</f>
        <v>0</v>
      </c>
    </row>
    <row r="111" spans="16:18" ht="27.6">
      <c r="P111" s="148" t="s">
        <v>71</v>
      </c>
      <c r="Q111" s="162">
        <v>0</v>
      </c>
      <c r="R111" s="145">
        <f>'Cost analysis - purchase'!B17</f>
        <v>0.04</v>
      </c>
    </row>
    <row r="112" spans="16:18" ht="27.6">
      <c r="P112" s="148" t="s">
        <v>67</v>
      </c>
      <c r="Q112" s="162">
        <v>0</v>
      </c>
      <c r="R112" s="150">
        <f>'Cost analysis - purchase'!AD30</f>
        <v>-1521.4322632181393</v>
      </c>
    </row>
    <row r="113" spans="16:19" ht="27.6">
      <c r="P113" s="151" t="s">
        <v>72</v>
      </c>
      <c r="Q113" s="154">
        <v>0</v>
      </c>
      <c r="R113" s="155">
        <f>R109-R110+(R111*R109)</f>
        <v>15822.634463999999</v>
      </c>
      <c r="S113" s="195"/>
    </row>
    <row r="114" spans="16:19" ht="27.6">
      <c r="P114" s="148"/>
      <c r="Q114" s="146"/>
      <c r="R114" s="147"/>
    </row>
    <row r="115" spans="16:19" ht="27.6">
      <c r="P115" s="143" t="s">
        <v>73</v>
      </c>
      <c r="Q115" s="149">
        <f>'Cost analysis - purchase'!B9</f>
        <v>1.4590000000000001</v>
      </c>
      <c r="R115" s="150">
        <f>'Cost analysis - purchase'!B10</f>
        <v>0.1784</v>
      </c>
    </row>
    <row r="116" spans="16:19" ht="27.6">
      <c r="P116" s="143" t="s">
        <v>74</v>
      </c>
      <c r="Q116" s="146">
        <f>'Cost analysis - purchase'!B20</f>
        <v>0.11899999999999999</v>
      </c>
      <c r="R116" s="147">
        <f>'Cost analysis - purchase'!B19</f>
        <v>0.308</v>
      </c>
    </row>
    <row r="117" spans="16:19" ht="27.6">
      <c r="P117" s="143" t="s">
        <v>75</v>
      </c>
      <c r="Q117" s="146">
        <f>Q116*Q99</f>
        <v>3570</v>
      </c>
      <c r="R117" s="147">
        <f>R116*R99</f>
        <v>9240</v>
      </c>
    </row>
    <row r="118" spans="16:19" ht="27.6">
      <c r="P118" s="151" t="s">
        <v>76</v>
      </c>
      <c r="Q118" s="154">
        <f>Q115*Q117</f>
        <v>5208.63</v>
      </c>
      <c r="R118" s="155">
        <f>R117*R115</f>
        <v>1648.4159999999999</v>
      </c>
    </row>
    <row r="119" spans="16:19" ht="27.6">
      <c r="P119" s="148"/>
      <c r="Q119" s="146"/>
      <c r="R119" s="147"/>
    </row>
    <row r="120" spans="16:19" ht="27.6">
      <c r="P120" s="148" t="s">
        <v>77</v>
      </c>
      <c r="Q120" s="149">
        <f>'Cost analysis - purchase'!B14</f>
        <v>0.35</v>
      </c>
      <c r="R120" s="150">
        <f>'Cost analysis - purchase'!B15</f>
        <v>0.18</v>
      </c>
    </row>
    <row r="121" spans="16:19" ht="27.6">
      <c r="P121" s="151" t="s">
        <v>78</v>
      </c>
      <c r="Q121" s="154">
        <f>Q120*Q99</f>
        <v>10500</v>
      </c>
      <c r="R121" s="155">
        <f>R120*R99</f>
        <v>5400</v>
      </c>
    </row>
    <row r="122" spans="16:19" ht="27.6">
      <c r="P122" s="148"/>
      <c r="Q122" s="146"/>
      <c r="R122" s="147"/>
    </row>
    <row r="123" spans="16:19" ht="27.6">
      <c r="P123" s="148" t="s">
        <v>79</v>
      </c>
      <c r="Q123" s="146"/>
      <c r="R123" s="147">
        <v>6</v>
      </c>
    </row>
    <row r="124" spans="16:19" ht="27.6">
      <c r="P124" s="148" t="s">
        <v>80</v>
      </c>
      <c r="Q124" s="146"/>
      <c r="R124" s="150">
        <v>120</v>
      </c>
    </row>
    <row r="125" spans="16:19" ht="27.6">
      <c r="P125" s="148" t="s">
        <v>81</v>
      </c>
      <c r="Q125" s="146"/>
      <c r="R125" s="150">
        <f>'Cost analysis - purchase'!B43</f>
        <v>0</v>
      </c>
    </row>
    <row r="126" spans="16:19" ht="27.6">
      <c r="P126" s="156" t="s">
        <v>82</v>
      </c>
      <c r="Q126" s="154">
        <v>0</v>
      </c>
      <c r="R126" s="155">
        <f xml:space="preserve"> 'Cost analysis - purchase'!W22</f>
        <v>-1820.3388033599997</v>
      </c>
    </row>
    <row r="127" spans="16:19" ht="27.6">
      <c r="P127" s="148"/>
      <c r="Q127" s="146"/>
      <c r="R127" s="147"/>
    </row>
    <row r="128" spans="16:19" ht="27.6">
      <c r="P128" s="148" t="s">
        <v>83</v>
      </c>
      <c r="Q128" s="149">
        <f>SUM('Cost analysis - purchase'!I30,'Cost analysis - purchase'!J30,'Cost analysis - purchase'!N30,'Cost analysis - purchase'!P30)</f>
        <v>60238.758273781779</v>
      </c>
      <c r="R128" s="150">
        <f>SUM('Cost analysis - purchase'!T30,'Cost analysis - purchase'!U30,'Cost analysis - purchase'!AC30,'Cost analysis - purchase'!AE30)</f>
        <v>100935.29069739296</v>
      </c>
    </row>
    <row r="129" spans="2:18" ht="27.6">
      <c r="P129" s="148" t="s">
        <v>84</v>
      </c>
      <c r="Q129" s="149">
        <f>SUM('Cost analysis - purchase'!K30)</f>
        <v>42408.709489200475</v>
      </c>
      <c r="R129" s="150">
        <f>'Cost analysis - purchase'!X30</f>
        <v>12630.925258273419</v>
      </c>
    </row>
    <row r="130" spans="2:18" ht="27.6">
      <c r="P130" s="148" t="s">
        <v>85</v>
      </c>
      <c r="Q130" s="149">
        <v>0</v>
      </c>
      <c r="R130" s="150">
        <f>SUM('Cost analysis - purchase'!Z30,'Cost analysis - purchase'!AB30)+'Cost analysis - purchase'!AD30</f>
        <v>17973.999384781859</v>
      </c>
    </row>
    <row r="131" spans="2:18" ht="27.6">
      <c r="P131" s="148" t="s">
        <v>86</v>
      </c>
      <c r="Q131" s="149">
        <f>'Cost analysis - purchase'!M30</f>
        <v>78059.975515872007</v>
      </c>
      <c r="R131" s="150">
        <f>'Cost analysis - purchase'!Y30</f>
        <v>40145.130265305597</v>
      </c>
    </row>
    <row r="132" spans="2:18" ht="27.6">
      <c r="P132" s="148" t="s">
        <v>87</v>
      </c>
      <c r="Q132" s="149">
        <v>0</v>
      </c>
      <c r="R132" s="150">
        <f>SUM('Cost analysis - purchase'!W30)</f>
        <v>-7757.3391512678236</v>
      </c>
    </row>
    <row r="133" spans="2:18" ht="27.6">
      <c r="P133" s="157" t="s">
        <v>88</v>
      </c>
      <c r="Q133" s="158">
        <f>SUM(Q128:Q132)</f>
        <v>180707.44327885425</v>
      </c>
      <c r="R133" s="159">
        <f>SUM(R128:R132)</f>
        <v>163928.00645448602</v>
      </c>
    </row>
    <row r="134" spans="2:18" ht="18"/>
    <row r="135" spans="2:18" ht="18"/>
    <row r="136" spans="2:18" ht="18"/>
    <row r="137" spans="2:18" ht="18"/>
    <row r="138" spans="2:18" ht="18"/>
    <row r="139" spans="2:18" ht="58.15" customHeight="1">
      <c r="B139" s="234" t="s">
        <v>93</v>
      </c>
      <c r="C139" s="234"/>
      <c r="D139" s="234"/>
      <c r="E139" s="234"/>
      <c r="F139" s="234"/>
      <c r="G139" s="234"/>
      <c r="H139" s="234"/>
      <c r="I139" s="234"/>
      <c r="J139" s="234"/>
      <c r="K139" s="234"/>
      <c r="L139" s="234"/>
      <c r="M139" s="234"/>
      <c r="N139" s="234"/>
      <c r="O139" s="234"/>
      <c r="P139" s="234"/>
      <c r="Q139" s="234"/>
      <c r="R139" s="234"/>
    </row>
    <row r="141" spans="2:18" ht="27.6">
      <c r="P141" s="235" t="s">
        <v>59</v>
      </c>
      <c r="Q141" s="236"/>
      <c r="R141" s="237"/>
    </row>
    <row r="142" spans="2:18" ht="27.6">
      <c r="P142" s="238">
        <f>'Cost analysis - purchase'!Q47/('TCO Dashboard'!F20*10)</f>
        <v>0.60744966272378498</v>
      </c>
      <c r="Q142" s="239"/>
      <c r="R142" s="240"/>
    </row>
    <row r="143" spans="2:18" ht="27.6">
      <c r="P143" s="244" t="s">
        <v>60</v>
      </c>
      <c r="Q143" s="245"/>
      <c r="R143" s="246"/>
    </row>
    <row r="144" spans="2:18" ht="27.6">
      <c r="P144" s="238">
        <f>'Cost analysis - purchase'!AF47/('TCO Dashboard'!F20*10)</f>
        <v>0.57272634562161984</v>
      </c>
      <c r="Q144" s="239"/>
      <c r="R144" s="240"/>
    </row>
    <row r="145" spans="16:20" ht="27.6">
      <c r="P145" s="247" t="s">
        <v>90</v>
      </c>
      <c r="Q145" s="248"/>
      <c r="R145" s="249"/>
    </row>
    <row r="146" spans="16:20" ht="27.6">
      <c r="P146" s="257">
        <f>'Cost analysis - purchase'!Q47-'Cost analysis - purchase'!AF47</f>
        <v>10416.995130649535</v>
      </c>
      <c r="Q146" s="258"/>
      <c r="R146" s="259"/>
    </row>
    <row r="147" spans="16:20" ht="18"/>
    <row r="148" spans="16:20" ht="27.6">
      <c r="P148" s="140"/>
      <c r="Q148" s="141" t="s">
        <v>39</v>
      </c>
      <c r="R148" s="142" t="s">
        <v>41</v>
      </c>
    </row>
    <row r="149" spans="16:20" ht="27.6">
      <c r="P149" s="161" t="s">
        <v>62</v>
      </c>
      <c r="Q149" s="162">
        <f>C7</f>
        <v>200</v>
      </c>
      <c r="R149" s="150">
        <f>C7</f>
        <v>200</v>
      </c>
      <c r="S149" s="230"/>
      <c r="T149" s="230"/>
    </row>
    <row r="150" spans="16:20" ht="27.6">
      <c r="P150" s="161" t="s">
        <v>63</v>
      </c>
      <c r="Q150" s="149">
        <f>F20</f>
        <v>30000</v>
      </c>
      <c r="R150" s="150">
        <f>F20</f>
        <v>30000</v>
      </c>
      <c r="S150" s="230"/>
      <c r="T150" s="230"/>
    </row>
    <row r="151" spans="16:20" ht="27.6">
      <c r="P151" s="148"/>
      <c r="Q151" s="149"/>
      <c r="R151" s="150"/>
      <c r="S151" s="230"/>
      <c r="T151" s="230"/>
    </row>
    <row r="152" spans="16:20" ht="27.6">
      <c r="P152" s="148" t="s">
        <v>64</v>
      </c>
      <c r="Q152" s="149">
        <f>'Cost analysis - purchase'!B6</f>
        <v>54000</v>
      </c>
      <c r="R152" s="150">
        <f>'Cost analysis - purchase'!B7</f>
        <v>95833</v>
      </c>
      <c r="S152" s="230"/>
      <c r="T152" s="230"/>
    </row>
    <row r="153" spans="16:20" ht="27.6">
      <c r="P153" s="148" t="s">
        <v>91</v>
      </c>
      <c r="Q153" s="149">
        <f>'Cost analysis - purchase'!I39</f>
        <v>2700</v>
      </c>
      <c r="R153" s="150">
        <f>'Cost analysis - purchase'!T39</f>
        <v>4791.6500000000005</v>
      </c>
      <c r="S153" s="230"/>
      <c r="T153" s="230"/>
    </row>
    <row r="154" spans="16:20" ht="27.6">
      <c r="P154" s="148" t="s">
        <v>92</v>
      </c>
      <c r="Q154" s="149">
        <f>'Cost analysis - purchase'!J39/12</f>
        <v>774.25448308631587</v>
      </c>
      <c r="R154" s="150">
        <f>'Cost analysis - purchase'!U39/12</f>
        <v>1223.1311608746046</v>
      </c>
      <c r="S154" s="230"/>
      <c r="T154" s="230"/>
    </row>
    <row r="155" spans="16:20" ht="27.6">
      <c r="P155" s="148" t="s">
        <v>65</v>
      </c>
      <c r="Q155" s="149">
        <f>'Cost analysis - purchase'!B51</f>
        <v>0</v>
      </c>
      <c r="R155" s="150">
        <f>'Cost analysis - purchase'!B50</f>
        <v>10000</v>
      </c>
      <c r="S155" s="230"/>
      <c r="T155" s="230"/>
    </row>
    <row r="156" spans="16:20" ht="27.6">
      <c r="P156" s="148" t="s">
        <v>66</v>
      </c>
      <c r="Q156" s="149">
        <f>'Cost analysis - purchase'!P39</f>
        <v>1620</v>
      </c>
      <c r="R156" s="163">
        <f>'Cost analysis - purchase'!AE39</f>
        <v>3833.32</v>
      </c>
      <c r="S156" s="230"/>
      <c r="T156" s="230"/>
    </row>
    <row r="157" spans="16:20" ht="27.6">
      <c r="P157" s="148" t="s">
        <v>67</v>
      </c>
      <c r="Q157" s="149">
        <f>'Cost analysis - purchase'!N47</f>
        <v>-17311.162767187503</v>
      </c>
      <c r="R157" s="163">
        <f>'Cost analysis - purchase'!AC47</f>
        <v>-33432.616816073831</v>
      </c>
      <c r="S157" s="230"/>
      <c r="T157" s="230"/>
    </row>
    <row r="158" spans="16:20" ht="27.6">
      <c r="P158" s="151" t="s">
        <v>68</v>
      </c>
      <c r="Q158" s="152">
        <f>Q153+Q156</f>
        <v>4320</v>
      </c>
      <c r="R158" s="153">
        <f>R153+R156+(R154*12)</f>
        <v>23302.543930495256</v>
      </c>
    </row>
    <row r="159" spans="16:20" ht="21">
      <c r="P159" s="164"/>
      <c r="Q159" s="165"/>
      <c r="R159" s="166"/>
    </row>
    <row r="160" spans="16:20" ht="27.6">
      <c r="P160" s="148" t="s">
        <v>69</v>
      </c>
      <c r="Q160" s="162">
        <v>0</v>
      </c>
      <c r="R160" s="163">
        <f>'Cost analysis - purchase'!B37*'Cost analysis - purchase'!B38</f>
        <v>15214.071599999999</v>
      </c>
      <c r="T160" s="195"/>
    </row>
    <row r="161" spans="16:18" ht="27.6">
      <c r="P161" s="148" t="s">
        <v>70</v>
      </c>
      <c r="Q161" s="149">
        <v>0</v>
      </c>
      <c r="R161" s="163">
        <f>'Cost analysis - purchase'!B52</f>
        <v>0</v>
      </c>
    </row>
    <row r="162" spans="16:18" ht="27.6">
      <c r="P162" s="148" t="s">
        <v>94</v>
      </c>
      <c r="Q162" s="149">
        <v>0</v>
      </c>
      <c r="R162" s="163">
        <f>'Cost analysis - purchase'!Z39</f>
        <v>3912.18984</v>
      </c>
    </row>
    <row r="163" spans="16:18" ht="27.6">
      <c r="P163" s="148" t="s">
        <v>67</v>
      </c>
      <c r="Q163" s="162">
        <v>0</v>
      </c>
      <c r="R163" s="163">
        <f>'Cost analysis - purchase'!AD47</f>
        <v>-1521.4322632181393</v>
      </c>
    </row>
    <row r="164" spans="16:18" ht="27.6">
      <c r="P164" s="151" t="s">
        <v>72</v>
      </c>
      <c r="Q164" s="154">
        <v>0</v>
      </c>
      <c r="R164" s="167">
        <f>R162</f>
        <v>3912.18984</v>
      </c>
    </row>
    <row r="165" spans="16:18" ht="27.6">
      <c r="P165" s="148"/>
      <c r="Q165" s="146"/>
      <c r="R165" s="166"/>
    </row>
    <row r="166" spans="16:18" ht="27.6">
      <c r="P166" s="161" t="s">
        <v>73</v>
      </c>
      <c r="Q166" s="149">
        <f>'Cost analysis - purchase'!B9</f>
        <v>1.4590000000000001</v>
      </c>
      <c r="R166" s="150">
        <f>'Cost analysis - purchase'!B10</f>
        <v>0.1784</v>
      </c>
    </row>
    <row r="167" spans="16:18" ht="27.6">
      <c r="P167" s="161" t="s">
        <v>74</v>
      </c>
      <c r="Q167" s="146">
        <f>'Cost analysis - purchase'!B20</f>
        <v>0.11899999999999999</v>
      </c>
      <c r="R167" s="166">
        <f>'Cost analysis - purchase'!B19</f>
        <v>0.308</v>
      </c>
    </row>
    <row r="168" spans="16:18" ht="27.6">
      <c r="P168" s="161" t="s">
        <v>75</v>
      </c>
      <c r="Q168" s="146">
        <f>Q167*Q150</f>
        <v>3570</v>
      </c>
      <c r="R168" s="166">
        <f>R167*R150</f>
        <v>9240</v>
      </c>
    </row>
    <row r="169" spans="16:18" ht="27.6">
      <c r="P169" s="151" t="s">
        <v>76</v>
      </c>
      <c r="Q169" s="154">
        <f>Q166*Q168</f>
        <v>5208.63</v>
      </c>
      <c r="R169" s="167">
        <f>R168*R166</f>
        <v>1648.4159999999999</v>
      </c>
    </row>
    <row r="170" spans="16:18" ht="27.6">
      <c r="P170" s="148"/>
      <c r="Q170" s="146"/>
      <c r="R170" s="166"/>
    </row>
    <row r="171" spans="16:18" ht="27.6">
      <c r="P171" s="148" t="s">
        <v>77</v>
      </c>
      <c r="Q171" s="149">
        <f>'Cost analysis - purchase'!B14</f>
        <v>0.35</v>
      </c>
      <c r="R171" s="163">
        <f>'Cost analysis - purchase'!B15</f>
        <v>0.18</v>
      </c>
    </row>
    <row r="172" spans="16:18" ht="27.6">
      <c r="P172" s="151" t="s">
        <v>78</v>
      </c>
      <c r="Q172" s="154">
        <f>Q171*Q150</f>
        <v>10500</v>
      </c>
      <c r="R172" s="167">
        <f>R171*R150</f>
        <v>5400</v>
      </c>
    </row>
    <row r="173" spans="16:18" ht="27.6">
      <c r="P173" s="148"/>
      <c r="Q173" s="146"/>
      <c r="R173" s="166"/>
    </row>
    <row r="174" spans="16:18" ht="27.6">
      <c r="P174" s="148" t="s">
        <v>79</v>
      </c>
      <c r="Q174" s="146"/>
      <c r="R174" s="166">
        <v>6</v>
      </c>
    </row>
    <row r="175" spans="16:18" ht="27.6">
      <c r="P175" s="148" t="s">
        <v>80</v>
      </c>
      <c r="Q175" s="146"/>
      <c r="R175" s="163">
        <v>80</v>
      </c>
    </row>
    <row r="176" spans="16:18" ht="27.6">
      <c r="P176" s="148" t="s">
        <v>81</v>
      </c>
      <c r="Q176" s="146"/>
      <c r="R176" s="163">
        <f>'Cost analysis - purchase'!B43</f>
        <v>0</v>
      </c>
    </row>
    <row r="177" spans="2:18" ht="27.6">
      <c r="P177" s="156" t="s">
        <v>82</v>
      </c>
      <c r="Q177" s="154">
        <v>0</v>
      </c>
      <c r="R177" s="167">
        <f>'Cost analysis - purchase'!W39</f>
        <v>-1820.3388033599997</v>
      </c>
    </row>
    <row r="178" spans="2:18" ht="27.6">
      <c r="P178" s="148"/>
      <c r="Q178" s="146"/>
      <c r="R178" s="166"/>
    </row>
    <row r="179" spans="2:18" ht="27.6">
      <c r="P179" s="148" t="s">
        <v>83</v>
      </c>
      <c r="Q179" s="149">
        <f>SUM('Cost analysis - purchase'!I47,'Cost analysis - purchase'!J47,'Cost analysis - purchase'!N47,'Cost analysis - purchase'!P47)</f>
        <v>61766.213812063026</v>
      </c>
      <c r="R179" s="163">
        <f>SUM('Cost analysis - purchase'!T47,'Cost analysis - purchase'!U47,'Cost analysis - purchase'!AC47,'Cost analysis - purchase'!AE47)</f>
        <v>100935.29069739296</v>
      </c>
    </row>
    <row r="180" spans="2:18" ht="27.6">
      <c r="P180" s="148" t="s">
        <v>84</v>
      </c>
      <c r="Q180" s="149">
        <f>'Cost analysis - purchase'!K47</f>
        <v>42408.709489200475</v>
      </c>
      <c r="R180" s="163">
        <f>'Cost analysis - purchase'!X47</f>
        <v>12630.925258273419</v>
      </c>
    </row>
    <row r="181" spans="2:18" ht="27.6">
      <c r="P181" s="148" t="s">
        <v>85</v>
      </c>
      <c r="Q181" s="165">
        <v>0</v>
      </c>
      <c r="R181" s="163">
        <f>SUM('Cost analysis - purchase'!Z47,'Cost analysis - purchase'!AD47)</f>
        <v>25863.896616781858</v>
      </c>
    </row>
    <row r="182" spans="2:18" ht="27.6">
      <c r="P182" s="148" t="s">
        <v>86</v>
      </c>
      <c r="Q182" s="149">
        <f>'Cost analysis - purchase'!M47</f>
        <v>78059.975515872007</v>
      </c>
      <c r="R182" s="163">
        <f>'Cost analysis - purchase'!Y47</f>
        <v>40145.130265305597</v>
      </c>
    </row>
    <row r="183" spans="2:18" ht="27.6">
      <c r="P183" s="148" t="s">
        <v>87</v>
      </c>
      <c r="Q183" s="149">
        <v>0</v>
      </c>
      <c r="R183" s="163">
        <f>'Cost analysis - purchase'!W47</f>
        <v>-7757.3391512678236</v>
      </c>
    </row>
    <row r="184" spans="2:18" ht="27.6">
      <c r="P184" s="157" t="s">
        <v>88</v>
      </c>
      <c r="Q184" s="158">
        <f>SUM(Q179:Q183)</f>
        <v>182234.89881713552</v>
      </c>
      <c r="R184" s="168">
        <f>SUM(R179:R183)</f>
        <v>171817.90368648601</v>
      </c>
    </row>
    <row r="192" spans="2:18" ht="50.1">
      <c r="B192" s="234" t="s">
        <v>95</v>
      </c>
      <c r="C192" s="234"/>
      <c r="D192" s="234"/>
      <c r="E192" s="234"/>
      <c r="F192" s="234"/>
      <c r="G192" s="234"/>
      <c r="H192" s="234"/>
      <c r="I192" s="234"/>
      <c r="J192" s="234"/>
      <c r="K192" s="234"/>
      <c r="L192" s="234"/>
      <c r="M192" s="234"/>
      <c r="N192" s="234"/>
      <c r="O192" s="234"/>
      <c r="P192" s="234"/>
      <c r="Q192" s="234"/>
      <c r="R192" s="234"/>
    </row>
  </sheetData>
  <mergeCells count="38">
    <mergeCell ref="P43:R43"/>
    <mergeCell ref="P90:R90"/>
    <mergeCell ref="B192:R192"/>
    <mergeCell ref="P91:R91"/>
    <mergeCell ref="P92:R92"/>
    <mergeCell ref="P93:R93"/>
    <mergeCell ref="P94:R94"/>
    <mergeCell ref="P95:R95"/>
    <mergeCell ref="B139:R139"/>
    <mergeCell ref="P146:R146"/>
    <mergeCell ref="P141:R141"/>
    <mergeCell ref="P142:R142"/>
    <mergeCell ref="P143:R143"/>
    <mergeCell ref="P144:R144"/>
    <mergeCell ref="P145:R145"/>
    <mergeCell ref="B1:C1"/>
    <mergeCell ref="D1:E1"/>
    <mergeCell ref="B2:C3"/>
    <mergeCell ref="E18:F18"/>
    <mergeCell ref="B18:C18"/>
    <mergeCell ref="B5:C5"/>
    <mergeCell ref="E5:H5"/>
    <mergeCell ref="J5:M5"/>
    <mergeCell ref="I19:J19"/>
    <mergeCell ref="B36:R36"/>
    <mergeCell ref="B88:R88"/>
    <mergeCell ref="I24:J24"/>
    <mergeCell ref="P38:R38"/>
    <mergeCell ref="P39:R39"/>
    <mergeCell ref="B26:F26"/>
    <mergeCell ref="I20:J20"/>
    <mergeCell ref="I18:K18"/>
    <mergeCell ref="I21:J21"/>
    <mergeCell ref="I22:J22"/>
    <mergeCell ref="I23:J23"/>
    <mergeCell ref="P40:R40"/>
    <mergeCell ref="P41:R41"/>
    <mergeCell ref="P42:R42"/>
  </mergeCells>
  <dataValidations count="5">
    <dataValidation type="list" allowBlank="1" showInputMessage="1" showErrorMessage="1" sqref="C21" xr:uid="{06733F73-7CFB-4948-A707-860FABCC87D3}">
      <formula1>ICE_make_and_model</formula1>
    </dataValidation>
    <dataValidation type="list" allowBlank="1" showInputMessage="1" showErrorMessage="1" sqref="C20" xr:uid="{10165FC4-8A13-4FBA-B57B-3AF73E0C892B}">
      <formula1>Unique_chargers</formula1>
    </dataValidation>
    <dataValidation type="list" allowBlank="1" showInputMessage="1" showErrorMessage="1" sqref="C9" xr:uid="{D04BE362-6D21-4287-AF93-30A398ECC3D6}">
      <formula1>"Light Duty, Medium Duty, Heavy Duty"</formula1>
    </dataValidation>
    <dataValidation type="list" allowBlank="1" showInputMessage="1" showErrorMessage="1" sqref="C19" xr:uid="{02E9033C-9A51-4BB6-B283-BBADA260CB27}">
      <formula1>EV_make_and_model</formula1>
    </dataValidation>
    <dataValidation type="list" allowBlank="1" showInputMessage="1" showErrorMessage="1" sqref="C10" xr:uid="{7E2E7DAF-D46F-44C3-90D1-F9F67F76B360}">
      <formula1>"Yes, No"</formula1>
    </dataValidation>
  </dataValidations>
  <pageMargins left="0.23622047244094491" right="0.23622047244094491" top="0.74803149606299213" bottom="0.74803149606299213" header="0.31496062992125984" footer="0.31496062992125984"/>
  <pageSetup paperSize="3" scale="57" orientation="landscape" r:id="rId1"/>
  <rowBreaks count="1" manualBreakCount="1">
    <brk id="87" min="1" max="17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94F09BC-D495-41E6-AEA8-8E983D9E36E0}">
          <x14:formula1>
            <xm:f>'Fuel &amp; Electricity Costs table'!$A$2:$A$14</xm:f>
          </x14:formula1>
          <xm:sqref>F19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AF90D-DCCC-4D19-9BD1-3DC58399575C}">
  <dimension ref="A1:AM75"/>
  <sheetViews>
    <sheetView zoomScale="80" zoomScaleNormal="80" workbookViewId="0">
      <selection activeCell="B15" sqref="B15"/>
    </sheetView>
  </sheetViews>
  <sheetFormatPr defaultRowHeight="17.45"/>
  <cols>
    <col min="1" max="1" width="41" style="28" bestFit="1" customWidth="1"/>
    <col min="2" max="2" width="12.7109375" style="28" bestFit="1" customWidth="1"/>
    <col min="3" max="3" width="15" style="28" bestFit="1" customWidth="1"/>
    <col min="4" max="4" width="113.140625" style="28" bestFit="1" customWidth="1"/>
    <col min="5" max="5" width="71.5703125" style="28" bestFit="1" customWidth="1"/>
    <col min="6" max="6" width="14.85546875" style="28" bestFit="1" customWidth="1"/>
    <col min="7" max="7" width="8.7109375" style="28"/>
    <col min="8" max="8" width="52.7109375" style="28" bestFit="1" customWidth="1"/>
    <col min="9" max="9" width="18.5703125" style="28" bestFit="1" customWidth="1"/>
    <col min="10" max="10" width="32.42578125" bestFit="1" customWidth="1"/>
    <col min="11" max="11" width="14.85546875" bestFit="1" customWidth="1"/>
    <col min="12" max="13" width="27.85546875" bestFit="1" customWidth="1"/>
    <col min="14" max="14" width="17.42578125" bestFit="1" customWidth="1"/>
    <col min="15" max="16" width="21" bestFit="1" customWidth="1"/>
    <col min="17" max="18" width="26.28515625" bestFit="1" customWidth="1"/>
    <col min="19" max="19" width="17.85546875" bestFit="1" customWidth="1"/>
    <col min="20" max="20" width="32.28515625" customWidth="1"/>
    <col min="21" max="21" width="31.85546875" bestFit="1" customWidth="1"/>
    <col min="22" max="22" width="17.85546875" bestFit="1" customWidth="1"/>
    <col min="23" max="23" width="27.42578125" bestFit="1" customWidth="1"/>
    <col min="24" max="24" width="29.85546875" bestFit="1" customWidth="1"/>
    <col min="25" max="25" width="36.85546875" bestFit="1" customWidth="1"/>
    <col min="26" max="26" width="29.85546875" customWidth="1"/>
    <col min="27" max="27" width="32.140625" bestFit="1" customWidth="1"/>
    <col min="28" max="28" width="36.85546875" bestFit="1" customWidth="1"/>
    <col min="29" max="29" width="23.85546875" bestFit="1" customWidth="1"/>
    <col min="30" max="30" width="25.28515625" bestFit="1" customWidth="1"/>
    <col min="31" max="31" width="20" bestFit="1" customWidth="1"/>
    <col min="32" max="32" width="16" bestFit="1" customWidth="1"/>
    <col min="33" max="33" width="25.28515625" bestFit="1" customWidth="1"/>
    <col min="34" max="34" width="24.140625" bestFit="1" customWidth="1"/>
    <col min="35" max="35" width="24" bestFit="1" customWidth="1"/>
    <col min="36" max="36" width="24.140625" bestFit="1" customWidth="1"/>
    <col min="37" max="37" width="24" bestFit="1" customWidth="1"/>
    <col min="38" max="39" width="18.28515625" bestFit="1" customWidth="1"/>
  </cols>
  <sheetData>
    <row r="1" spans="1:36" ht="18">
      <c r="A1" s="196" t="s">
        <v>96</v>
      </c>
      <c r="B1" s="196" t="s">
        <v>97</v>
      </c>
      <c r="C1" s="196" t="s">
        <v>98</v>
      </c>
      <c r="D1" s="196" t="s">
        <v>99</v>
      </c>
      <c r="E1" s="196" t="s">
        <v>100</v>
      </c>
      <c r="F1" s="27" t="s">
        <v>101</v>
      </c>
      <c r="H1" s="29" t="s">
        <v>58</v>
      </c>
    </row>
    <row r="2" spans="1:36" ht="18">
      <c r="A2" s="197" t="s">
        <v>102</v>
      </c>
      <c r="B2" s="198">
        <f>0.04</f>
        <v>0.04</v>
      </c>
      <c r="C2" s="198" t="s">
        <v>103</v>
      </c>
      <c r="D2" s="198" t="s">
        <v>104</v>
      </c>
      <c r="E2" s="198" t="s">
        <v>105</v>
      </c>
      <c r="F2" s="30" t="s">
        <v>106</v>
      </c>
      <c r="H2" s="31" t="s">
        <v>107</v>
      </c>
      <c r="I2" s="7" t="s">
        <v>108</v>
      </c>
      <c r="J2" s="7" t="s">
        <v>109</v>
      </c>
      <c r="K2" s="7" t="s">
        <v>110</v>
      </c>
      <c r="L2" s="7" t="s">
        <v>111</v>
      </c>
      <c r="M2" s="7" t="s">
        <v>112</v>
      </c>
      <c r="N2" s="7"/>
      <c r="O2" s="7" t="s">
        <v>113</v>
      </c>
      <c r="P2" s="59" t="s">
        <v>114</v>
      </c>
      <c r="Q2" s="59" t="s">
        <v>115</v>
      </c>
      <c r="R2" s="7" t="s">
        <v>116</v>
      </c>
      <c r="S2" s="8" t="s">
        <v>117</v>
      </c>
      <c r="T2" s="8" t="s">
        <v>118</v>
      </c>
      <c r="U2" s="8" t="s">
        <v>119</v>
      </c>
      <c r="V2" s="8" t="s">
        <v>120</v>
      </c>
      <c r="W2" s="8" t="s">
        <v>121</v>
      </c>
      <c r="X2" s="8" t="s">
        <v>122</v>
      </c>
      <c r="Y2" s="8" t="s">
        <v>123</v>
      </c>
      <c r="Z2" s="8" t="s">
        <v>124</v>
      </c>
      <c r="AA2" s="8" t="s">
        <v>125</v>
      </c>
      <c r="AB2" s="8" t="s">
        <v>126</v>
      </c>
      <c r="AC2" s="60" t="s">
        <v>127</v>
      </c>
      <c r="AD2" s="60" t="s">
        <v>128</v>
      </c>
      <c r="AE2" s="8" t="s">
        <v>129</v>
      </c>
      <c r="AF2" s="8" t="s">
        <v>130</v>
      </c>
      <c r="AG2" s="6" t="s">
        <v>131</v>
      </c>
      <c r="AH2" s="6" t="s">
        <v>132</v>
      </c>
      <c r="AI2" s="6" t="s">
        <v>133</v>
      </c>
      <c r="AJ2" s="6" t="s">
        <v>134</v>
      </c>
    </row>
    <row r="3" spans="1:36" ht="18">
      <c r="A3" s="197"/>
      <c r="B3" s="197"/>
      <c r="C3" s="197"/>
      <c r="D3" s="197"/>
      <c r="E3" s="197"/>
      <c r="H3" s="32">
        <v>0</v>
      </c>
      <c r="I3" s="9"/>
      <c r="J3" s="9">
        <v>0</v>
      </c>
      <c r="K3" s="9"/>
      <c r="L3" s="9">
        <v>0</v>
      </c>
      <c r="M3" s="9"/>
      <c r="N3" s="9"/>
      <c r="O3" s="9"/>
      <c r="P3" s="9">
        <f t="shared" ref="P3:P10" si="0">SUM(I3:O3)</f>
        <v>0</v>
      </c>
      <c r="Q3" s="9">
        <f>P3</f>
        <v>0</v>
      </c>
      <c r="R3" s="9">
        <v>0</v>
      </c>
      <c r="S3" s="10"/>
      <c r="T3" s="10"/>
      <c r="U3" s="10"/>
      <c r="V3" s="10">
        <v>0</v>
      </c>
      <c r="W3" s="10">
        <v>0</v>
      </c>
      <c r="X3" s="10"/>
      <c r="Y3" s="10"/>
      <c r="Z3" s="10"/>
      <c r="AA3" s="10"/>
      <c r="AB3" s="10"/>
      <c r="AC3" s="10">
        <f t="shared" ref="AC3:AC10" si="1">SUM(S3:AB3)</f>
        <v>0</v>
      </c>
      <c r="AD3" s="10">
        <f>AC3</f>
        <v>0</v>
      </c>
      <c r="AE3" s="10">
        <v>0</v>
      </c>
      <c r="AF3" s="10">
        <v>0</v>
      </c>
      <c r="AH3" s="11">
        <f t="shared" ref="AH3:AH11" si="2">MAX(Q3-AD3,0)</f>
        <v>0</v>
      </c>
      <c r="AI3" s="5">
        <f t="shared" ref="AI3:AI11" si="3">AG3*P3</f>
        <v>0</v>
      </c>
      <c r="AJ3" s="5">
        <f t="shared" ref="AJ3:AJ11" si="4">AG3*AC3</f>
        <v>0</v>
      </c>
    </row>
    <row r="4" spans="1:36" ht="18">
      <c r="A4" s="197"/>
      <c r="B4" s="197"/>
      <c r="C4" s="197"/>
      <c r="D4" s="197"/>
      <c r="E4" s="197"/>
      <c r="H4" s="32">
        <v>1</v>
      </c>
      <c r="I4" s="9">
        <f>B6</f>
        <v>54000</v>
      </c>
      <c r="J4" s="9">
        <f>(B$20*B$21)*B$9</f>
        <v>5208.63</v>
      </c>
      <c r="K4" s="9">
        <f>B20*B21*B40</f>
        <v>0</v>
      </c>
      <c r="L4" s="9">
        <f>B14*B21</f>
        <v>10500</v>
      </c>
      <c r="M4" s="9"/>
      <c r="N4" s="9"/>
      <c r="O4" s="9">
        <f>B55*B6</f>
        <v>1620</v>
      </c>
      <c r="P4" s="9">
        <f>SUM(I4:O4)</f>
        <v>71328.63</v>
      </c>
      <c r="Q4" s="9">
        <f>Q3+P4</f>
        <v>71328.63</v>
      </c>
      <c r="R4" s="9">
        <f>($I$4-SUM($R$3:R3))*B$25</f>
        <v>8100</v>
      </c>
      <c r="S4" s="10">
        <f>B7</f>
        <v>95833</v>
      </c>
      <c r="T4" s="10">
        <f>-(B50+B52)</f>
        <v>-10000</v>
      </c>
      <c r="U4" s="10">
        <f>-B41-B43</f>
        <v>-1820.3388033599997</v>
      </c>
      <c r="V4" s="10">
        <f>(B$19*B$10)*B$21</f>
        <v>1648.4159999999999</v>
      </c>
      <c r="W4" s="10">
        <f>B$15*B$21</f>
        <v>5400</v>
      </c>
      <c r="X4" s="10">
        <f>B37*B38</f>
        <v>15214.071599999999</v>
      </c>
      <c r="Y4" s="10">
        <f>X4*B17</f>
        <v>608.56286399999999</v>
      </c>
      <c r="Z4" s="10"/>
      <c r="AA4" s="10"/>
      <c r="AB4" s="10">
        <f>B7*B54</f>
        <v>3833.32</v>
      </c>
      <c r="AC4" s="10">
        <f>SUM(S4:AB4)</f>
        <v>110717.03166064</v>
      </c>
      <c r="AD4" s="10">
        <f>AC4</f>
        <v>110717.03166064</v>
      </c>
      <c r="AE4" s="10">
        <f>($S$4)*B$26</f>
        <v>14374.949999999999</v>
      </c>
      <c r="AF4" s="10">
        <f>0.5*($B$37)*IF('TCO Dashboard'!C20 = 'Charger database'!A6,B$28,B$27)</f>
        <v>2282.1107399999996</v>
      </c>
      <c r="AG4">
        <f t="shared" ref="AG4:AG10" si="5">1/(1+$B$2)^H4</f>
        <v>0.96153846153846145</v>
      </c>
      <c r="AH4" s="11">
        <f t="shared" si="2"/>
        <v>0</v>
      </c>
      <c r="AI4" s="5">
        <f t="shared" si="3"/>
        <v>68585.221153846156</v>
      </c>
      <c r="AJ4" s="5">
        <f t="shared" si="4"/>
        <v>106458.68428907692</v>
      </c>
    </row>
    <row r="5" spans="1:36" ht="18">
      <c r="A5" s="196" t="s">
        <v>135</v>
      </c>
      <c r="B5" s="196" t="s">
        <v>97</v>
      </c>
      <c r="C5" s="196" t="s">
        <v>98</v>
      </c>
      <c r="D5" s="196" t="s">
        <v>99</v>
      </c>
      <c r="E5" s="196" t="s">
        <v>100</v>
      </c>
      <c r="H5" s="32">
        <v>2</v>
      </c>
      <c r="I5" s="33">
        <v>0</v>
      </c>
      <c r="J5" s="9">
        <f t="shared" ref="J5:J10" si="6">J4*(1+B$11)</f>
        <v>5469.0615000000007</v>
      </c>
      <c r="K5" s="9">
        <f>B20*B21*B40</f>
        <v>0</v>
      </c>
      <c r="L5" s="9">
        <f t="shared" ref="L5:L10" si="7">L4*(1+B$16)</f>
        <v>10710</v>
      </c>
      <c r="M5" s="9"/>
      <c r="N5" s="9"/>
      <c r="O5" s="9">
        <f>B55*B6</f>
        <v>1620</v>
      </c>
      <c r="P5" s="9">
        <f t="shared" si="0"/>
        <v>17799.0615</v>
      </c>
      <c r="Q5" s="9">
        <f t="shared" ref="Q5:Q10" si="8">Q4+P5</f>
        <v>89127.691500000001</v>
      </c>
      <c r="R5" s="9">
        <f>($I$4-SUM($R$3:R4))*B$25</f>
        <v>6885</v>
      </c>
      <c r="S5" s="10">
        <v>0</v>
      </c>
      <c r="T5" s="10">
        <v>0</v>
      </c>
      <c r="U5" s="10">
        <f>U4-(U4*B$48)</f>
        <v>-1674.7116990911998</v>
      </c>
      <c r="V5" s="10">
        <f t="shared" ref="V5:V10" si="9">V4*(1+B$12)</f>
        <v>1697.8684800000001</v>
      </c>
      <c r="W5" s="10">
        <f t="shared" ref="W5:W10" si="10">W4*(1+B$16)</f>
        <v>5508</v>
      </c>
      <c r="X5" s="10">
        <v>0</v>
      </c>
      <c r="Y5" s="10">
        <f>Y4+(1.02)</f>
        <v>609.58286399999997</v>
      </c>
      <c r="Z5" s="10"/>
      <c r="AA5" s="10"/>
      <c r="AB5" s="10">
        <f>B7*B54</f>
        <v>3833.32</v>
      </c>
      <c r="AC5" s="10">
        <f t="shared" si="1"/>
        <v>9974.0596449088007</v>
      </c>
      <c r="AD5" s="10">
        <f t="shared" ref="AD5:AD10" si="11">AD4+AC5</f>
        <v>120691.09130554881</v>
      </c>
      <c r="AE5" s="10">
        <f>($S$4-SUM($AE$4:AE4))*B$26</f>
        <v>12218.7075</v>
      </c>
      <c r="AF5" s="215">
        <f>($B$37-SUM($AF4:AF$4))*IF('TCO Dashboard'!C$20 = 'Charger database'!A$6,B$28,B$27)</f>
        <v>3879.5882579999998</v>
      </c>
      <c r="AG5">
        <f t="shared" si="5"/>
        <v>0.92455621301775137</v>
      </c>
      <c r="AH5" s="11">
        <f t="shared" si="2"/>
        <v>0</v>
      </c>
      <c r="AI5" s="5">
        <f t="shared" si="3"/>
        <v>16456.232895710058</v>
      </c>
      <c r="AJ5" s="5">
        <f t="shared" si="4"/>
        <v>9221.578813710059</v>
      </c>
    </row>
    <row r="6" spans="1:36" ht="18">
      <c r="A6" s="199" t="s">
        <v>136</v>
      </c>
      <c r="B6" s="200">
        <f>IF('TCO Dashboard'!D29 = TRUE, 'TCO Dashboard'!C29,_xlfn.XLOOKUP('TCO Dashboard'!C21,ICE_DB[Make + Model],ICE_DB[Purchase price ($ CAD)]))</f>
        <v>54000</v>
      </c>
      <c r="C6" s="199" t="s">
        <v>137</v>
      </c>
      <c r="D6" s="199" t="s">
        <v>138</v>
      </c>
      <c r="E6" s="199" t="s">
        <v>105</v>
      </c>
      <c r="H6" s="32">
        <v>3</v>
      </c>
      <c r="I6" s="33">
        <v>0</v>
      </c>
      <c r="J6" s="9">
        <f t="shared" si="6"/>
        <v>5742.5145750000011</v>
      </c>
      <c r="K6" s="9">
        <f>B20*B21*B40</f>
        <v>0</v>
      </c>
      <c r="L6" s="9">
        <f t="shared" si="7"/>
        <v>10924.2</v>
      </c>
      <c r="M6" s="9"/>
      <c r="N6" s="9"/>
      <c r="O6" s="9">
        <f>B55*B6</f>
        <v>1620</v>
      </c>
      <c r="P6" s="9">
        <f t="shared" si="0"/>
        <v>18286.714575000002</v>
      </c>
      <c r="Q6" s="9">
        <f t="shared" si="8"/>
        <v>107414.40607500001</v>
      </c>
      <c r="R6" s="9">
        <f>($I$4-SUM($R$3:R5))*B$25</f>
        <v>5852.25</v>
      </c>
      <c r="S6" s="10">
        <v>0</v>
      </c>
      <c r="T6" s="10">
        <v>0</v>
      </c>
      <c r="U6" s="10">
        <f>U5-(U5*B$48)</f>
        <v>-1540.7347631639038</v>
      </c>
      <c r="V6" s="10">
        <f t="shared" si="9"/>
        <v>1748.8045344000002</v>
      </c>
      <c r="W6" s="10">
        <f t="shared" si="10"/>
        <v>5618.16</v>
      </c>
      <c r="X6" s="10">
        <v>0</v>
      </c>
      <c r="Y6" s="10">
        <f t="shared" ref="Y6:Y10" si="12">Y5+(1.02)</f>
        <v>610.60286399999995</v>
      </c>
      <c r="Z6" s="10"/>
      <c r="AA6" s="10"/>
      <c r="AB6" s="10">
        <f>B7*B54</f>
        <v>3833.32</v>
      </c>
      <c r="AC6" s="10">
        <f t="shared" si="1"/>
        <v>10270.152635236096</v>
      </c>
      <c r="AD6" s="10">
        <f t="shared" si="11"/>
        <v>130961.2439407849</v>
      </c>
      <c r="AE6" s="10">
        <f>($S$4-SUM($AE$4:AE5))*B$26</f>
        <v>10385.901374999999</v>
      </c>
      <c r="AF6" s="215">
        <f>($B$37-SUM($AF$4:AF5))*IF('TCO Dashboard'!C$20 = 'Charger database'!A$6,B$28,B$27)</f>
        <v>2715.7117805999997</v>
      </c>
      <c r="AG6">
        <f t="shared" si="5"/>
        <v>0.88899635867091487</v>
      </c>
      <c r="AH6" s="11">
        <f t="shared" si="2"/>
        <v>0</v>
      </c>
      <c r="AI6" s="5">
        <f t="shared" si="3"/>
        <v>16256.822669229348</v>
      </c>
      <c r="AJ6" s="5">
        <f t="shared" si="4"/>
        <v>9130.1282957193907</v>
      </c>
    </row>
    <row r="7" spans="1:36" ht="18">
      <c r="A7" s="199" t="s">
        <v>139</v>
      </c>
      <c r="B7" s="200">
        <f>IF('TCO Dashboard'!F29 = TRUE, 'TCO Dashboard'!E29,_xlfn.XLOOKUP('TCO Dashboard'!C19,EV_DB[Make &amp; Model],EV_DB[Cost, $MSRP
CAD]))</f>
        <v>95833</v>
      </c>
      <c r="C7" s="199" t="s">
        <v>140</v>
      </c>
      <c r="D7" s="199" t="s">
        <v>141</v>
      </c>
      <c r="E7" s="199" t="s">
        <v>105</v>
      </c>
      <c r="H7" s="32">
        <v>4</v>
      </c>
      <c r="I7" s="33">
        <v>0</v>
      </c>
      <c r="J7" s="9">
        <f t="shared" si="6"/>
        <v>6029.6403037500013</v>
      </c>
      <c r="K7" s="9">
        <f>B20*B21*B40</f>
        <v>0</v>
      </c>
      <c r="L7" s="9">
        <f t="shared" si="7"/>
        <v>11142.684000000001</v>
      </c>
      <c r="M7" s="9"/>
      <c r="N7" s="9"/>
      <c r="O7" s="9">
        <f>B55*B6</f>
        <v>1620</v>
      </c>
      <c r="P7" s="9">
        <f t="shared" si="0"/>
        <v>18792.324303750003</v>
      </c>
      <c r="Q7" s="9">
        <f t="shared" si="8"/>
        <v>126206.73037875001</v>
      </c>
      <c r="R7" s="9">
        <f>($I$4-SUM($R$3:R6))*B$25</f>
        <v>4974.4124999999995</v>
      </c>
      <c r="S7" s="10">
        <v>0</v>
      </c>
      <c r="T7" s="10">
        <v>0</v>
      </c>
      <c r="U7" s="10">
        <f>U6-(U6*B$48)</f>
        <v>-1417.4759821107916</v>
      </c>
      <c r="V7" s="10">
        <f t="shared" si="9"/>
        <v>1801.2686704320001</v>
      </c>
      <c r="W7" s="10">
        <f t="shared" si="10"/>
        <v>5730.5231999999996</v>
      </c>
      <c r="X7" s="10">
        <v>0</v>
      </c>
      <c r="Y7" s="10">
        <f t="shared" si="12"/>
        <v>611.62286399999994</v>
      </c>
      <c r="Z7" s="10"/>
      <c r="AA7" s="10"/>
      <c r="AB7" s="10">
        <f>B7*B54</f>
        <v>3833.32</v>
      </c>
      <c r="AC7" s="10">
        <f t="shared" si="1"/>
        <v>10559.258752321208</v>
      </c>
      <c r="AD7" s="10">
        <f t="shared" si="11"/>
        <v>141520.5026931061</v>
      </c>
      <c r="AE7" s="10">
        <f>($S$4-SUM($AE$4:AE6))*B$26</f>
        <v>8828.0161687499985</v>
      </c>
      <c r="AF7" s="215">
        <f>($B$37-SUM($AF$4:AF6))*IF('TCO Dashboard'!C$20 = 'Charger database'!A$6,B$28,B$27)</f>
        <v>1900.9982464200002</v>
      </c>
      <c r="AG7">
        <f t="shared" si="5"/>
        <v>0.85480419102972571</v>
      </c>
      <c r="AH7" s="11">
        <f t="shared" si="2"/>
        <v>0</v>
      </c>
      <c r="AI7" s="5">
        <f t="shared" si="3"/>
        <v>16063.757574035275</v>
      </c>
      <c r="AJ7" s="5">
        <f t="shared" si="4"/>
        <v>9026.0986356514804</v>
      </c>
    </row>
    <row r="8" spans="1:36" ht="18">
      <c r="A8" s="196" t="s">
        <v>142</v>
      </c>
      <c r="B8" s="196" t="s">
        <v>97</v>
      </c>
      <c r="C8" s="196" t="s">
        <v>98</v>
      </c>
      <c r="D8" s="196" t="s">
        <v>99</v>
      </c>
      <c r="E8" s="196" t="s">
        <v>100</v>
      </c>
      <c r="H8" s="32">
        <v>5</v>
      </c>
      <c r="I8" s="33">
        <v>0</v>
      </c>
      <c r="J8" s="9">
        <f t="shared" si="6"/>
        <v>6331.1223189375014</v>
      </c>
      <c r="K8" s="9">
        <f>B20*B21*B40</f>
        <v>0</v>
      </c>
      <c r="L8" s="9">
        <f t="shared" si="7"/>
        <v>11365.537680000001</v>
      </c>
      <c r="M8" s="9"/>
      <c r="N8" s="9"/>
      <c r="O8" s="9">
        <f>B55*B6</f>
        <v>1620</v>
      </c>
      <c r="P8" s="9">
        <f t="shared" si="0"/>
        <v>19316.659998937503</v>
      </c>
      <c r="Q8" s="9">
        <f t="shared" si="8"/>
        <v>145523.39037768752</v>
      </c>
      <c r="R8" s="9">
        <f>($I$4-SUM($R$3:R7))*B$25</f>
        <v>4228.2506249999997</v>
      </c>
      <c r="S8" s="10">
        <v>0</v>
      </c>
      <c r="T8" s="10">
        <v>0</v>
      </c>
      <c r="U8" s="10">
        <f>U7-(U7*B$48)</f>
        <v>-1304.0779035419282</v>
      </c>
      <c r="V8" s="10">
        <f t="shared" si="9"/>
        <v>1855.3067305449601</v>
      </c>
      <c r="W8" s="10">
        <f t="shared" si="10"/>
        <v>5845.133664</v>
      </c>
      <c r="X8" s="10">
        <v>0</v>
      </c>
      <c r="Y8" s="10">
        <f t="shared" si="12"/>
        <v>612.64286399999992</v>
      </c>
      <c r="Z8" s="10"/>
      <c r="AA8" s="10"/>
      <c r="AB8" s="10">
        <f>B7*B54</f>
        <v>3833.32</v>
      </c>
      <c r="AC8" s="10">
        <f t="shared" si="1"/>
        <v>10842.325355003031</v>
      </c>
      <c r="AD8" s="10">
        <f t="shared" si="11"/>
        <v>152362.82804810914</v>
      </c>
      <c r="AE8" s="10">
        <f>($S$4-SUM($AE$4:AE7))*B$26</f>
        <v>7503.8137434374994</v>
      </c>
      <c r="AF8" s="215">
        <f>($B$37-SUM($AF$4:AF7))*IF('TCO Dashboard'!C$20 = 'Charger database'!A$6,B$28,B$27)</f>
        <v>1330.6987724940002</v>
      </c>
      <c r="AG8">
        <f t="shared" si="5"/>
        <v>0.82192710675935154</v>
      </c>
      <c r="AH8" s="11">
        <f t="shared" si="2"/>
        <v>0</v>
      </c>
      <c r="AI8" s="5">
        <f t="shared" si="3"/>
        <v>15876.8864651808</v>
      </c>
      <c r="AJ8" s="5">
        <f t="shared" si="4"/>
        <v>8911.6011095812009</v>
      </c>
    </row>
    <row r="9" spans="1:36" ht="18">
      <c r="A9" s="199" t="s">
        <v>143</v>
      </c>
      <c r="B9" s="201">
        <v>1.4590000000000001</v>
      </c>
      <c r="C9" s="199" t="s">
        <v>144</v>
      </c>
      <c r="D9" s="202"/>
      <c r="E9" s="199" t="s">
        <v>105</v>
      </c>
      <c r="H9" s="32">
        <v>6</v>
      </c>
      <c r="I9" s="33">
        <v>0</v>
      </c>
      <c r="J9" s="9">
        <f t="shared" si="6"/>
        <v>6647.6784348843767</v>
      </c>
      <c r="K9" s="9">
        <f>B20*B21*B40</f>
        <v>0</v>
      </c>
      <c r="L9" s="9">
        <f t="shared" si="7"/>
        <v>11592.848433600002</v>
      </c>
      <c r="M9" s="9"/>
      <c r="N9" s="9"/>
      <c r="O9" s="9">
        <f>B55*B6</f>
        <v>1620</v>
      </c>
      <c r="P9" s="9">
        <f t="shared" si="0"/>
        <v>19860.52686848438</v>
      </c>
      <c r="Q9" s="9">
        <f t="shared" si="8"/>
        <v>165383.91724617191</v>
      </c>
      <c r="R9" s="9">
        <f>($I$4-SUM($R$3:R8))*B$25</f>
        <v>3594.01303125</v>
      </c>
      <c r="S9" s="10">
        <v>0</v>
      </c>
      <c r="T9" s="10">
        <v>0</v>
      </c>
      <c r="U9" s="10">
        <v>0</v>
      </c>
      <c r="V9" s="10">
        <f t="shared" si="9"/>
        <v>1910.965932461309</v>
      </c>
      <c r="W9" s="10">
        <f t="shared" si="10"/>
        <v>5962.0363372800002</v>
      </c>
      <c r="X9" s="10">
        <v>0</v>
      </c>
      <c r="Y9" s="10">
        <f t="shared" si="12"/>
        <v>613.6628639999999</v>
      </c>
      <c r="Z9" s="10"/>
      <c r="AA9" s="10"/>
      <c r="AB9" s="10">
        <f>B7*B54</f>
        <v>3833.32</v>
      </c>
      <c r="AC9" s="10">
        <f t="shared" si="1"/>
        <v>12319.985133741309</v>
      </c>
      <c r="AD9" s="10">
        <f t="shared" si="11"/>
        <v>164682.81318185045</v>
      </c>
      <c r="AE9" s="10">
        <f>($S$4-SUM($AE$4:AE8))*B$26</f>
        <v>6378.2416819218743</v>
      </c>
      <c r="AF9" s="215">
        <f>($B$37-SUM($AF$4:AF8))*IF('TCO Dashboard'!C$20 = 'Charger database'!A$6,B$28,B$27)</f>
        <v>931.48914074579989</v>
      </c>
      <c r="AG9">
        <f t="shared" si="5"/>
        <v>0.79031452573014571</v>
      </c>
      <c r="AH9" s="11">
        <f t="shared" si="2"/>
        <v>701.10406432146556</v>
      </c>
      <c r="AI9" s="5">
        <f t="shared" si="3"/>
        <v>15696.062872817049</v>
      </c>
      <c r="AJ9" s="5">
        <f t="shared" si="4"/>
        <v>9736.6632079752089</v>
      </c>
    </row>
    <row r="10" spans="1:36" ht="18">
      <c r="A10" s="199" t="s">
        <v>145</v>
      </c>
      <c r="B10" s="201">
        <f>IF( 'TCO Dashboard'!F30 = TRUE, 'TCO Dashboard'!E30,_xlfn.XLOOKUP('TCO Dashboard'!F19,Fuelcosts_DB[Province],Fuelcosts_DB[Cost of electricity ($/kWh)]))</f>
        <v>0.1784</v>
      </c>
      <c r="C10" s="199" t="s">
        <v>146</v>
      </c>
      <c r="D10" s="203" t="s">
        <v>147</v>
      </c>
      <c r="E10" s="199" t="s">
        <v>148</v>
      </c>
      <c r="H10" s="32">
        <v>7</v>
      </c>
      <c r="I10" s="33">
        <v>0</v>
      </c>
      <c r="J10" s="9">
        <f t="shared" si="6"/>
        <v>6980.0623566285958</v>
      </c>
      <c r="K10" s="9">
        <f>B20*B21*B40</f>
        <v>0</v>
      </c>
      <c r="L10" s="9">
        <f t="shared" si="7"/>
        <v>11824.705402272002</v>
      </c>
      <c r="M10" s="9"/>
      <c r="N10" s="9"/>
      <c r="O10" s="9">
        <f>B55*B6</f>
        <v>1620</v>
      </c>
      <c r="P10" s="9">
        <f t="shared" si="0"/>
        <v>20424.767758900598</v>
      </c>
      <c r="Q10" s="9">
        <f t="shared" si="8"/>
        <v>185808.6850050725</v>
      </c>
      <c r="R10" s="9">
        <f>($I$4-SUM($R$3:R9))*B$25</f>
        <v>3054.9110765625005</v>
      </c>
      <c r="S10" s="10">
        <v>0</v>
      </c>
      <c r="T10" s="10">
        <v>0</v>
      </c>
      <c r="U10" s="10">
        <v>0</v>
      </c>
      <c r="V10" s="10">
        <f t="shared" si="9"/>
        <v>1968.2949104351483</v>
      </c>
      <c r="W10" s="10">
        <f t="shared" si="10"/>
        <v>6081.2770640256003</v>
      </c>
      <c r="X10" s="10">
        <v>0</v>
      </c>
      <c r="Y10" s="10">
        <f t="shared" si="12"/>
        <v>614.68286399999988</v>
      </c>
      <c r="Z10" s="10"/>
      <c r="AA10" s="10"/>
      <c r="AB10" s="10">
        <f>B7*B54</f>
        <v>3833.32</v>
      </c>
      <c r="AC10" s="10">
        <f t="shared" si="1"/>
        <v>12497.574838460749</v>
      </c>
      <c r="AD10" s="10">
        <f t="shared" si="11"/>
        <v>177180.38802031119</v>
      </c>
      <c r="AE10" s="10">
        <f>($S$4-SUM($AE$4:AE9))*B$26</f>
        <v>5421.505429633592</v>
      </c>
      <c r="AF10" s="215">
        <f>($B$37-SUM($AF$4:AF9))*IF('TCO Dashboard'!C$20 = 'Charger database'!A$6,B$28,B$27)</f>
        <v>652.0423985220599</v>
      </c>
      <c r="AG10">
        <f t="shared" si="5"/>
        <v>0.75991781320206331</v>
      </c>
      <c r="AH10" s="11">
        <f t="shared" si="2"/>
        <v>8628.2969847613131</v>
      </c>
      <c r="AI10" s="5">
        <f t="shared" si="3"/>
        <v>15521.14485050375</v>
      </c>
      <c r="AJ10" s="5">
        <f t="shared" si="4"/>
        <v>9497.129741572222</v>
      </c>
    </row>
    <row r="11" spans="1:36" ht="18.600000000000001" thickBot="1">
      <c r="A11" s="199" t="s">
        <v>149</v>
      </c>
      <c r="B11" s="199">
        <f>0.03+0.02</f>
        <v>0.05</v>
      </c>
      <c r="C11" s="199" t="s">
        <v>103</v>
      </c>
      <c r="D11" s="204" t="s">
        <v>150</v>
      </c>
      <c r="E11" s="205" t="s">
        <v>151</v>
      </c>
      <c r="H11" s="32" t="s">
        <v>152</v>
      </c>
      <c r="I11" s="33"/>
      <c r="J11" s="9"/>
      <c r="K11" s="9"/>
      <c r="L11" s="9"/>
      <c r="M11" s="9">
        <f>-(I4-SUM(R3:R10))</f>
        <v>-17311.162767187503</v>
      </c>
      <c r="N11" s="9"/>
      <c r="O11" s="9"/>
      <c r="P11" s="9">
        <f>SUM(I11:O11)</f>
        <v>-17311.162767187503</v>
      </c>
      <c r="Q11" s="9">
        <f>Q10+P11</f>
        <v>168497.52223788499</v>
      </c>
      <c r="R11" s="9"/>
      <c r="S11" s="10"/>
      <c r="T11" s="10"/>
      <c r="U11" s="10"/>
      <c r="V11" s="10"/>
      <c r="W11" s="10"/>
      <c r="X11" s="10"/>
      <c r="Y11" s="10"/>
      <c r="Z11" s="10">
        <f>-(S4-SUM(AE4:AE10))</f>
        <v>-30721.864101257022</v>
      </c>
      <c r="AA11" s="10">
        <f>-(B37-SUM(AF4:AF10))</f>
        <v>-1521.4322632181393</v>
      </c>
      <c r="AB11" s="10"/>
      <c r="AC11" s="10">
        <f>SUM(S11:AB11)</f>
        <v>-32243.296364475162</v>
      </c>
      <c r="AD11" s="10">
        <f>AD10+AC11</f>
        <v>144937.09165583603</v>
      </c>
      <c r="AE11" s="10"/>
      <c r="AF11" s="10"/>
      <c r="AG11">
        <f>1/(1+$B$2)^8</f>
        <v>0.73069020500198378</v>
      </c>
      <c r="AH11" s="11">
        <f t="shared" si="2"/>
        <v>23560.430582048954</v>
      </c>
      <c r="AI11" s="5">
        <f t="shared" si="3"/>
        <v>-12649.097071178945</v>
      </c>
      <c r="AJ11" s="5">
        <f t="shared" si="4"/>
        <v>-23559.860830498073</v>
      </c>
    </row>
    <row r="12" spans="1:36" ht="19.5" thickBot="1">
      <c r="A12" s="199" t="s">
        <v>153</v>
      </c>
      <c r="B12" s="201">
        <v>0.03</v>
      </c>
      <c r="C12" s="199" t="s">
        <v>103</v>
      </c>
      <c r="D12" s="204" t="s">
        <v>154</v>
      </c>
      <c r="E12" s="199"/>
      <c r="H12" s="34" t="s">
        <v>155</v>
      </c>
      <c r="I12" s="14">
        <f>SUM(I4:I11)</f>
        <v>54000</v>
      </c>
      <c r="J12" s="14">
        <f>SUM(J3:J11)</f>
        <v>42408.709489200475</v>
      </c>
      <c r="K12" s="14">
        <f>SUM(K3:K11)</f>
        <v>0</v>
      </c>
      <c r="L12" s="14">
        <f>SUM(L3:L11)</f>
        <v>78059.975515872007</v>
      </c>
      <c r="M12" s="14">
        <f>SUM(M3:M11)</f>
        <v>-17311.162767187503</v>
      </c>
      <c r="N12" s="14"/>
      <c r="O12" s="14">
        <f>SUM(O3:O11)</f>
        <v>11340</v>
      </c>
      <c r="P12" s="14">
        <f>SUM(P3:P11)</f>
        <v>168497.52223788499</v>
      </c>
      <c r="Q12" s="14"/>
      <c r="R12" s="14">
        <f>SUM(R3:R11)</f>
        <v>36688.837232812497</v>
      </c>
      <c r="S12" s="14">
        <f>SUM(S4:S11)</f>
        <v>95833</v>
      </c>
      <c r="T12" s="14">
        <f>SUM(T4:T11)</f>
        <v>-10000</v>
      </c>
      <c r="U12" s="14">
        <f>SUM(U3:U11)</f>
        <v>-7757.3391512678236</v>
      </c>
      <c r="V12" s="14">
        <f>SUM(V3:V11)</f>
        <v>12630.925258273419</v>
      </c>
      <c r="W12" s="14">
        <f>SUM(W3:W11)</f>
        <v>40145.130265305597</v>
      </c>
      <c r="X12" s="14">
        <f>SUM(X4:X11)</f>
        <v>15214.071599999999</v>
      </c>
      <c r="Y12" s="14">
        <f>SUM(Y3:Y11)</f>
        <v>4281.3600479999996</v>
      </c>
      <c r="Z12" s="14">
        <f>SUM(Z3:Z11)</f>
        <v>-30721.864101257022</v>
      </c>
      <c r="AA12" s="14">
        <f>SUM(AA3:AA11)</f>
        <v>-1521.4322632181393</v>
      </c>
      <c r="AB12" s="14">
        <f>SUM(AB3:AB11)</f>
        <v>26833.24</v>
      </c>
      <c r="AC12" s="14">
        <f>SUM(AC3:AC11)</f>
        <v>144937.09165583603</v>
      </c>
      <c r="AD12" s="14"/>
      <c r="AE12" s="14">
        <f>SUM(AE3:AE11)</f>
        <v>65111.135898742978</v>
      </c>
      <c r="AF12" s="14">
        <f>SUM(AF3:AF11)</f>
        <v>13692.63933678186</v>
      </c>
      <c r="AG12" s="14"/>
      <c r="AH12" s="14"/>
      <c r="AI12" s="77"/>
      <c r="AJ12" s="78"/>
    </row>
    <row r="13" spans="1:36" ht="19.5" thickBot="1">
      <c r="A13" s="196" t="s">
        <v>156</v>
      </c>
      <c r="B13" s="196" t="s">
        <v>97</v>
      </c>
      <c r="C13" s="196" t="s">
        <v>98</v>
      </c>
      <c r="D13" s="196" t="s">
        <v>99</v>
      </c>
      <c r="E13" s="196" t="s">
        <v>100</v>
      </c>
      <c r="H13" s="34" t="s">
        <v>157</v>
      </c>
      <c r="I13" s="14" t="e">
        <f>SUMPRODUCT(I4:I11,$AG3:$AG11)</f>
        <v>#VALUE!</v>
      </c>
      <c r="J13" s="14">
        <f>SUMPRODUCT(J3:J11,$AG3:$AG11)</f>
        <v>36085.740816640428</v>
      </c>
      <c r="K13" s="14">
        <f>SUMPRODUCT(K3:K11,$AG3:$AG11)</f>
        <v>0</v>
      </c>
      <c r="L13" s="14">
        <f>SUMPRODUCT(L3:L11,$AG3:$AG11)</f>
        <v>66723.982176288642</v>
      </c>
      <c r="M13" s="14">
        <f>SUMPRODUCT(M3:M11,$AG3:$AG11)</f>
        <v>-12649.097071178945</v>
      </c>
      <c r="N13" s="14"/>
      <c r="O13" s="14">
        <f>SUMPRODUCT(O3:O11,$AG3:$AG11)</f>
        <v>9723.3285653164312</v>
      </c>
      <c r="P13" s="14">
        <f>SUMPRODUCT(P3:P11,$AG3:$AG11)</f>
        <v>151807.03141014348</v>
      </c>
      <c r="Q13" s="14"/>
      <c r="R13" s="14">
        <f>SUMPRODUCT(R3:R11,$AG3:$AG11)</f>
        <v>32246.004509979386</v>
      </c>
      <c r="S13" s="14" t="e">
        <f>SUMPRODUCT(S4:S11,$AG3:$AG11)</f>
        <v>#VALUE!</v>
      </c>
      <c r="T13" s="14" t="e">
        <f>SUMPRODUCT(T4:T11,$AG3:$AG11)</f>
        <v>#VALUE!</v>
      </c>
      <c r="U13" s="14">
        <f>SUMPRODUCT(U3:U11,$AG3:$AG11)</f>
        <v>-6951.9198614395254</v>
      </c>
      <c r="V13" s="14">
        <f>SUMPRODUCT(V3:V11,$AG3:$AG11)</f>
        <v>10780.136500313216</v>
      </c>
      <c r="W13" s="14">
        <f>SUMPRODUCT(W3:W11,$AG3:$AG11)</f>
        <v>34315.190833519875</v>
      </c>
      <c r="X13" s="14">
        <f>SUMPRODUCT(X4:X11,$AG4:$AG11)</f>
        <v>14628.914999999997</v>
      </c>
      <c r="Y13" s="14">
        <f>SUMPRODUCT(Y3:Y11,$AG3:$AG11)</f>
        <v>3670.0346442554974</v>
      </c>
      <c r="Z13" s="14">
        <f>SUMPRODUCT(Z3:Z11,$AG3:$AG11)</f>
        <v>-22448.165178190578</v>
      </c>
      <c r="AA13" s="14"/>
      <c r="AB13" s="14">
        <f>SUMPRODUCT(AB3:AB11,$AG3:$AG11)</f>
        <v>23007.796207406649</v>
      </c>
      <c r="AC13" s="14">
        <f>SUMPRODUCT(AC3:AC11,$AG3:$AG11)</f>
        <v>138422.02326278843</v>
      </c>
      <c r="AD13" s="14"/>
      <c r="AE13" s="14">
        <f>SUMPRODUCT(AE3:AE11,$AG3:$AG11)</f>
        <v>57226.50648527508</v>
      </c>
      <c r="AF13" s="14">
        <f>SUMPRODUCT(AF3:AF11,$AG3:$AG11)</f>
        <v>12145.879254353122</v>
      </c>
      <c r="AG13" s="14"/>
      <c r="AH13" s="14"/>
      <c r="AI13" s="15">
        <f>SUM(AI3:AI11)</f>
        <v>151807.03141014348</v>
      </c>
      <c r="AJ13" s="16">
        <f>SUM(AJ3:AJ11)</f>
        <v>138422.02326278843</v>
      </c>
    </row>
    <row r="14" spans="1:36" ht="18">
      <c r="A14" s="199" t="s">
        <v>158</v>
      </c>
      <c r="B14" s="201">
        <f>IF('TCO Dashboard'!D28 = TRUE,('TCO Dashboard'!C28/'TCO Dashboard'!F20),_xlfn.XLOOKUP('TCO Dashboard'!C21,ICE_DB[Make + Model],ICE_DB[Maintenance cost ($/km)]))</f>
        <v>0.35</v>
      </c>
      <c r="C14" s="199" t="s">
        <v>159</v>
      </c>
      <c r="D14" s="199" t="s">
        <v>160</v>
      </c>
      <c r="E14" s="199" t="s">
        <v>105</v>
      </c>
      <c r="I14"/>
    </row>
    <row r="15" spans="1:36" ht="18">
      <c r="A15" s="199" t="s">
        <v>161</v>
      </c>
      <c r="B15" s="201">
        <f>IF('TCO Dashboard'!F28 = TRUE, ('TCO Dashboard'!E28/'TCO Dashboard'!F20),_xlfn.XLOOKUP('TCO Dashboard'!C19,EV_DB[Make &amp; Model],EV_DB[Maintenance cost ($/km)]))</f>
        <v>0.18</v>
      </c>
      <c r="C15" s="199" t="s">
        <v>159</v>
      </c>
      <c r="D15" s="199" t="s">
        <v>141</v>
      </c>
      <c r="E15" s="199" t="s">
        <v>105</v>
      </c>
    </row>
    <row r="16" spans="1:36" ht="18">
      <c r="A16" s="199" t="s">
        <v>162</v>
      </c>
      <c r="B16" s="201">
        <v>0.02</v>
      </c>
      <c r="C16" s="199" t="s">
        <v>103</v>
      </c>
      <c r="D16" s="199" t="s">
        <v>163</v>
      </c>
      <c r="E16" s="199" t="s">
        <v>105</v>
      </c>
    </row>
    <row r="17" spans="1:39" ht="18">
      <c r="A17" s="199" t="s">
        <v>164</v>
      </c>
      <c r="B17" s="201">
        <v>0.04</v>
      </c>
      <c r="C17" s="199" t="s">
        <v>103</v>
      </c>
      <c r="D17" s="199" t="s">
        <v>160</v>
      </c>
      <c r="E17" s="199"/>
    </row>
    <row r="18" spans="1:39" ht="18">
      <c r="A18" s="196" t="s">
        <v>165</v>
      </c>
      <c r="B18" s="196" t="s">
        <v>97</v>
      </c>
      <c r="C18" s="196" t="s">
        <v>98</v>
      </c>
      <c r="D18" s="196" t="s">
        <v>99</v>
      </c>
      <c r="E18" s="196" t="s">
        <v>100</v>
      </c>
      <c r="H18" s="29"/>
    </row>
    <row r="19" spans="1:39" ht="18">
      <c r="A19" s="206" t="s">
        <v>166</v>
      </c>
      <c r="B19" s="206">
        <f>_xlfn.XLOOKUP('TCO Dashboard'!C19,EV_DB[Make &amp; Model],EV_DB[Efficiency (kwh/km)])</f>
        <v>0.308</v>
      </c>
      <c r="C19" s="206" t="s">
        <v>167</v>
      </c>
      <c r="D19" s="199" t="s">
        <v>141</v>
      </c>
      <c r="E19" s="206" t="s">
        <v>105</v>
      </c>
      <c r="H19" s="29" t="s">
        <v>168</v>
      </c>
      <c r="AC19" s="11"/>
      <c r="AD19" s="11"/>
    </row>
    <row r="20" spans="1:39" ht="18">
      <c r="A20" s="206" t="s">
        <v>169</v>
      </c>
      <c r="B20" s="206">
        <f>_xlfn.XLOOKUP('TCO Dashboard'!C21,ICE_DB[Make + Model],ICE_DB[Efficiency (L/KM)])</f>
        <v>0.11899999999999999</v>
      </c>
      <c r="C20" s="206" t="s">
        <v>170</v>
      </c>
      <c r="D20" s="206" t="s">
        <v>138</v>
      </c>
      <c r="E20" s="206" t="s">
        <v>105</v>
      </c>
      <c r="H20" s="31" t="s">
        <v>107</v>
      </c>
      <c r="I20" s="7" t="s">
        <v>171</v>
      </c>
      <c r="J20" s="7" t="s">
        <v>172</v>
      </c>
      <c r="K20" s="7" t="s">
        <v>109</v>
      </c>
      <c r="L20" s="7" t="s">
        <v>110</v>
      </c>
      <c r="M20" s="7" t="s">
        <v>111</v>
      </c>
      <c r="N20" s="7" t="s">
        <v>112</v>
      </c>
      <c r="O20" s="7"/>
      <c r="P20" s="7" t="s">
        <v>113</v>
      </c>
      <c r="Q20" s="59" t="s">
        <v>114</v>
      </c>
      <c r="R20" s="59" t="s">
        <v>115</v>
      </c>
      <c r="S20" s="7" t="s">
        <v>116</v>
      </c>
      <c r="T20" s="8" t="s">
        <v>173</v>
      </c>
      <c r="U20" s="8" t="s">
        <v>174</v>
      </c>
      <c r="V20" s="8" t="s">
        <v>175</v>
      </c>
      <c r="W20" s="8" t="s">
        <v>119</v>
      </c>
      <c r="X20" s="8" t="s">
        <v>120</v>
      </c>
      <c r="Y20" s="8" t="s">
        <v>121</v>
      </c>
      <c r="Z20" s="8" t="s">
        <v>122</v>
      </c>
      <c r="AA20" s="8" t="s">
        <v>176</v>
      </c>
      <c r="AB20" s="8" t="s">
        <v>123</v>
      </c>
      <c r="AC20" s="8" t="s">
        <v>124</v>
      </c>
      <c r="AD20" s="8" t="s">
        <v>125</v>
      </c>
      <c r="AE20" s="8" t="s">
        <v>126</v>
      </c>
      <c r="AF20" s="60" t="s">
        <v>127</v>
      </c>
      <c r="AG20" s="60" t="s">
        <v>128</v>
      </c>
      <c r="AH20" s="8" t="s">
        <v>129</v>
      </c>
      <c r="AI20" s="8" t="s">
        <v>130</v>
      </c>
      <c r="AJ20" s="6" t="s">
        <v>131</v>
      </c>
      <c r="AK20" s="6" t="s">
        <v>133</v>
      </c>
      <c r="AL20" s="6" t="s">
        <v>134</v>
      </c>
      <c r="AM20" s="6" t="s">
        <v>132</v>
      </c>
    </row>
    <row r="21" spans="1:39" ht="18">
      <c r="A21" s="197" t="s">
        <v>177</v>
      </c>
      <c r="B21" s="197">
        <f>IF(ISBLANK('TCO Dashboard'!F20), 10000,'TCO Dashboard'!F20)</f>
        <v>30000</v>
      </c>
      <c r="C21" s="197" t="s">
        <v>178</v>
      </c>
      <c r="D21" s="197" t="s">
        <v>104</v>
      </c>
      <c r="E21" s="197" t="s">
        <v>105</v>
      </c>
      <c r="H21" s="32">
        <v>0</v>
      </c>
      <c r="I21" s="9"/>
      <c r="J21" s="9"/>
      <c r="K21" s="9">
        <v>0</v>
      </c>
      <c r="L21" s="9"/>
      <c r="M21" s="9">
        <v>0</v>
      </c>
      <c r="N21" s="9"/>
      <c r="O21" s="9"/>
      <c r="P21" s="9"/>
      <c r="Q21" s="9">
        <f t="shared" ref="Q21:Q29" si="13">SUM(I21:P21)</f>
        <v>0</v>
      </c>
      <c r="R21" s="9">
        <f>Q21</f>
        <v>0</v>
      </c>
      <c r="S21" s="9">
        <v>0</v>
      </c>
      <c r="T21" s="10"/>
      <c r="U21" s="10"/>
      <c r="V21" s="10"/>
      <c r="W21" s="10"/>
      <c r="X21" s="10">
        <v>0</v>
      </c>
      <c r="Y21" s="10">
        <v>0</v>
      </c>
      <c r="Z21" s="10"/>
      <c r="AA21" s="10">
        <f>-B52</f>
        <v>0</v>
      </c>
      <c r="AB21" s="10"/>
      <c r="AC21" s="10"/>
      <c r="AD21" s="10"/>
      <c r="AE21" s="10"/>
      <c r="AF21" s="10">
        <f>SUM(T21:AE21)</f>
        <v>0</v>
      </c>
      <c r="AG21" s="10">
        <f>AF21</f>
        <v>0</v>
      </c>
      <c r="AH21" s="10">
        <v>0</v>
      </c>
      <c r="AI21" s="10">
        <v>0</v>
      </c>
      <c r="AJ21">
        <f>1</f>
        <v>1</v>
      </c>
      <c r="AK21" s="5">
        <f t="shared" ref="AK21:AK29" si="14">AJ21*Q21</f>
        <v>0</v>
      </c>
      <c r="AL21" s="5">
        <f t="shared" ref="AL21:AL29" si="15">AJ21*AF21</f>
        <v>0</v>
      </c>
      <c r="AM21" s="11">
        <f t="shared" ref="AM21:AM29" si="16">MAX(R21-AG21,0)</f>
        <v>0</v>
      </c>
    </row>
    <row r="22" spans="1:39" ht="18">
      <c r="A22" s="199" t="s">
        <v>179</v>
      </c>
      <c r="B22" s="199">
        <v>10</v>
      </c>
      <c r="C22" s="199" t="s">
        <v>180</v>
      </c>
      <c r="D22" s="203" t="s">
        <v>181</v>
      </c>
      <c r="E22" s="199" t="s">
        <v>105</v>
      </c>
      <c r="H22" s="32">
        <v>1</v>
      </c>
      <c r="I22" s="9">
        <f>B30*B6</f>
        <v>2700</v>
      </c>
      <c r="J22" s="9">
        <f>PMT((B31/12),(B32*12),-(B6-(B6*B30)))*12</f>
        <v>9291.0537970357909</v>
      </c>
      <c r="K22" s="9">
        <f>(B$20*B$21)*B$9</f>
        <v>5208.63</v>
      </c>
      <c r="L22" s="9">
        <f>B20*B21*B40</f>
        <v>0</v>
      </c>
      <c r="M22" s="9">
        <f>B14*B21</f>
        <v>10500</v>
      </c>
      <c r="N22" s="9"/>
      <c r="O22" s="9"/>
      <c r="P22" s="9">
        <f>B55*B6</f>
        <v>1620</v>
      </c>
      <c r="Q22" s="9">
        <f>SUM(I22:P22)</f>
        <v>29319.683797035792</v>
      </c>
      <c r="R22" s="9">
        <f>R21+Q22</f>
        <v>29319.683797035792</v>
      </c>
      <c r="S22" s="9">
        <f>($B$6-SUM($S$21:S21))*B$25*0.5</f>
        <v>4050</v>
      </c>
      <c r="T22" s="10">
        <f>B33*B7</f>
        <v>4791.6500000000005</v>
      </c>
      <c r="U22" s="10">
        <f>PMT((B34/12),(B35*12),-(B7-(B7*B33)-B$50))*12</f>
        <v>14677.573930495255</v>
      </c>
      <c r="V22" s="10">
        <f>-B50</f>
        <v>-10000</v>
      </c>
      <c r="W22" s="10">
        <f>-B41-B43</f>
        <v>-1820.3388033599997</v>
      </c>
      <c r="X22" s="10">
        <f>(B$19*B$10)*B$21</f>
        <v>1648.4159999999999</v>
      </c>
      <c r="Y22" s="10">
        <f>B$15*B$21</f>
        <v>5400</v>
      </c>
      <c r="Z22" s="10">
        <f>B37*B38</f>
        <v>15214.071599999999</v>
      </c>
      <c r="AA22" s="10">
        <v>0</v>
      </c>
      <c r="AB22" s="10">
        <f>Z22*B17</f>
        <v>608.56286399999999</v>
      </c>
      <c r="AC22" s="10"/>
      <c r="AD22" s="10"/>
      <c r="AE22" s="10">
        <f>B7*B54</f>
        <v>3833.32</v>
      </c>
      <c r="AF22" s="10">
        <f>SUM(T22:AE22)-V22</f>
        <v>44353.255591135254</v>
      </c>
      <c r="AG22" s="10">
        <f>AG21+AF22</f>
        <v>44353.255591135254</v>
      </c>
      <c r="AH22" s="10">
        <f>($B$7-SUM($AH$21:AH21))*B$26*0.5</f>
        <v>7187.4749999999995</v>
      </c>
      <c r="AI22" s="10">
        <f>0.5*($B$37)*IF('TCO Dashboard'!C20 = 'Charger database'!A6,B$28,B$27)</f>
        <v>2282.1107399999996</v>
      </c>
      <c r="AJ22">
        <f t="shared" ref="AJ22:AJ28" si="17">1/(1+$B$2)^H22</f>
        <v>0.96153846153846145</v>
      </c>
      <c r="AK22" s="5">
        <f t="shared" si="14"/>
        <v>28192.00365099595</v>
      </c>
      <c r="AL22" s="5">
        <f t="shared" si="15"/>
        <v>42647.361145322357</v>
      </c>
      <c r="AM22" s="11">
        <f t="shared" si="16"/>
        <v>0</v>
      </c>
    </row>
    <row r="23" spans="1:39" ht="18">
      <c r="A23" s="197" t="s">
        <v>182</v>
      </c>
      <c r="B23" s="197">
        <v>260</v>
      </c>
      <c r="C23" s="197" t="s">
        <v>183</v>
      </c>
      <c r="D23" s="197" t="s">
        <v>104</v>
      </c>
      <c r="E23" s="197" t="s">
        <v>105</v>
      </c>
      <c r="H23" s="32">
        <v>2</v>
      </c>
      <c r="I23" s="9"/>
      <c r="J23" s="9">
        <f>PMT((B31/12),(B32*12),-(B6-(B6*B30)))*12</f>
        <v>9291.0537970357909</v>
      </c>
      <c r="K23" s="9">
        <f t="shared" ref="K23:K28" si="18">K22*(1+B$11)</f>
        <v>5469.0615000000007</v>
      </c>
      <c r="L23" s="9">
        <f>B20*B21*B40</f>
        <v>0</v>
      </c>
      <c r="M23" s="9">
        <f t="shared" ref="M23:M28" si="19">M22*(1+B$16)</f>
        <v>10710</v>
      </c>
      <c r="N23" s="9"/>
      <c r="O23" s="9"/>
      <c r="P23" s="9">
        <f>B55*B6</f>
        <v>1620</v>
      </c>
      <c r="Q23" s="9">
        <f t="shared" si="13"/>
        <v>27090.115297035791</v>
      </c>
      <c r="R23" s="9">
        <f t="shared" ref="R23:R28" si="20">R22+Q23</f>
        <v>56409.799094071583</v>
      </c>
      <c r="S23" s="9">
        <f>($B$6-SUM($S$21:S22))*B$25</f>
        <v>7492.5</v>
      </c>
      <c r="T23" s="10">
        <v>0</v>
      </c>
      <c r="U23" s="10">
        <f>PMT((B34/12),(B35*12),-(B7-(B7*B33)-B$50))*12</f>
        <v>14677.573930495255</v>
      </c>
      <c r="V23" s="10">
        <v>0</v>
      </c>
      <c r="W23" s="10">
        <f>W22-(W22*B$48)</f>
        <v>-1674.7116990911998</v>
      </c>
      <c r="X23" s="10">
        <f t="shared" ref="X23:X28" si="21">X22*(1+B$12)</f>
        <v>1697.8684800000001</v>
      </c>
      <c r="Y23" s="10">
        <f t="shared" ref="Y23:Y28" si="22">Y22*(1+B$16)</f>
        <v>5508</v>
      </c>
      <c r="Z23" s="10">
        <v>0</v>
      </c>
      <c r="AA23" s="10">
        <v>0</v>
      </c>
      <c r="AB23" s="10">
        <f t="shared" ref="AB23:AB28" si="23">AB22+(1.02)</f>
        <v>609.58286399999997</v>
      </c>
      <c r="AC23" s="10"/>
      <c r="AD23" s="10"/>
      <c r="AE23" s="10">
        <f>B7*B54</f>
        <v>3833.32</v>
      </c>
      <c r="AF23" s="10">
        <f t="shared" ref="AF23:AF29" si="24">SUM(T23:AE23)</f>
        <v>24651.633575404056</v>
      </c>
      <c r="AG23" s="10">
        <f t="shared" ref="AG23:AG28" si="25">AG22+AF23</f>
        <v>69004.889166539302</v>
      </c>
      <c r="AH23" s="10">
        <f>($B$7-SUM($AH$21:AH22))*B$26</f>
        <v>13296.828749999999</v>
      </c>
      <c r="AI23" s="215">
        <f>($B$37-SUM($AI22:AI$22))*IF('TCO Dashboard'!C$20 = 'Charger database'!A$6,B$28,B$27)</f>
        <v>3879.5882579999998</v>
      </c>
      <c r="AJ23">
        <f t="shared" si="17"/>
        <v>0.92455621301775137</v>
      </c>
      <c r="AK23" s="5">
        <f t="shared" si="14"/>
        <v>25046.334409241666</v>
      </c>
      <c r="AL23" s="5">
        <f t="shared" si="15"/>
        <v>22791.820983176825</v>
      </c>
      <c r="AM23" s="11">
        <f t="shared" si="16"/>
        <v>0</v>
      </c>
    </row>
    <row r="24" spans="1:39" ht="18">
      <c r="A24" s="196" t="s">
        <v>184</v>
      </c>
      <c r="B24" s="196" t="s">
        <v>97</v>
      </c>
      <c r="C24" s="196" t="s">
        <v>98</v>
      </c>
      <c r="D24" s="196" t="s">
        <v>99</v>
      </c>
      <c r="E24" s="196" t="s">
        <v>100</v>
      </c>
      <c r="H24" s="32">
        <v>3</v>
      </c>
      <c r="I24" s="9"/>
      <c r="J24" s="9">
        <f>PMT((B31/12),(B32*12),-(B6-(B6*B30)))*12</f>
        <v>9291.0537970357909</v>
      </c>
      <c r="K24" s="9">
        <f t="shared" si="18"/>
        <v>5742.5145750000011</v>
      </c>
      <c r="L24" s="9">
        <f>B20*B21*B40</f>
        <v>0</v>
      </c>
      <c r="M24" s="9">
        <f t="shared" si="19"/>
        <v>10924.2</v>
      </c>
      <c r="N24" s="9"/>
      <c r="O24" s="9"/>
      <c r="P24" s="9">
        <f>B55*B6</f>
        <v>1620</v>
      </c>
      <c r="Q24" s="9">
        <f t="shared" si="13"/>
        <v>27577.768372035793</v>
      </c>
      <c r="R24" s="9">
        <f t="shared" si="20"/>
        <v>83987.567466107372</v>
      </c>
      <c r="S24" s="9">
        <f>($B$6-SUM($S$21:S23))*B$25</f>
        <v>6368.625</v>
      </c>
      <c r="T24" s="10">
        <v>0</v>
      </c>
      <c r="U24" s="10">
        <f>PMT((B34/12),(B35*12),-(B7-(B7*B33)-B$50))*12</f>
        <v>14677.573930495255</v>
      </c>
      <c r="V24" s="10">
        <v>0</v>
      </c>
      <c r="W24" s="10">
        <f>W23-(W23*B$48)</f>
        <v>-1540.7347631639038</v>
      </c>
      <c r="X24" s="10">
        <f t="shared" si="21"/>
        <v>1748.8045344000002</v>
      </c>
      <c r="Y24" s="10">
        <f t="shared" si="22"/>
        <v>5618.16</v>
      </c>
      <c r="Z24" s="10">
        <v>0</v>
      </c>
      <c r="AA24" s="10">
        <v>0</v>
      </c>
      <c r="AB24" s="10">
        <f t="shared" si="23"/>
        <v>610.60286399999995</v>
      </c>
      <c r="AC24" s="10"/>
      <c r="AD24" s="10"/>
      <c r="AE24" s="10">
        <f>B7*B54</f>
        <v>3833.32</v>
      </c>
      <c r="AF24" s="10">
        <f t="shared" si="24"/>
        <v>24947.726565731351</v>
      </c>
      <c r="AG24" s="10">
        <f t="shared" si="25"/>
        <v>93952.615732270657</v>
      </c>
      <c r="AH24" s="10">
        <f>($B$7-SUM($AH$21:AH23))*B$26</f>
        <v>11302.304437500001</v>
      </c>
      <c r="AI24" s="215">
        <f>($B$37-SUM($AI$22:AI23))*IF('TCO Dashboard'!C$20 = 'Charger database'!A$6,B$28,B$27)</f>
        <v>2715.7117805999997</v>
      </c>
      <c r="AJ24">
        <f t="shared" si="17"/>
        <v>0.88899635867091487</v>
      </c>
      <c r="AK24" s="5">
        <f t="shared" si="14"/>
        <v>24516.535663009745</v>
      </c>
      <c r="AL24" s="5">
        <f t="shared" si="15"/>
        <v>22178.438074052818</v>
      </c>
      <c r="AM24" s="11">
        <f t="shared" si="16"/>
        <v>0</v>
      </c>
    </row>
    <row r="25" spans="1:39" ht="18">
      <c r="A25" s="206" t="s">
        <v>185</v>
      </c>
      <c r="B25" s="206">
        <f>0.15</f>
        <v>0.15</v>
      </c>
      <c r="C25" s="206" t="s">
        <v>103</v>
      </c>
      <c r="D25" s="206" t="s">
        <v>186</v>
      </c>
      <c r="E25" s="206" t="s">
        <v>187</v>
      </c>
      <c r="H25" s="32">
        <v>4</v>
      </c>
      <c r="I25" s="9"/>
      <c r="J25" s="9">
        <f>PMT((B31/12),(B32*12),-(B6-(B6*B30)))*12</f>
        <v>9291.0537970357909</v>
      </c>
      <c r="K25" s="9">
        <f t="shared" si="18"/>
        <v>6029.6403037500013</v>
      </c>
      <c r="L25" s="9">
        <f>B20*B21*B40</f>
        <v>0</v>
      </c>
      <c r="M25" s="9">
        <f t="shared" si="19"/>
        <v>11142.684000000001</v>
      </c>
      <c r="N25" s="9"/>
      <c r="O25" s="9"/>
      <c r="P25" s="9">
        <f>B55*B6</f>
        <v>1620</v>
      </c>
      <c r="Q25" s="9">
        <f t="shared" si="13"/>
        <v>28083.378100785794</v>
      </c>
      <c r="R25" s="9">
        <f t="shared" si="20"/>
        <v>112070.94556689316</v>
      </c>
      <c r="S25" s="9">
        <f>($B$6-SUM($S$21:S24))*B$25</f>
        <v>5413.3312500000002</v>
      </c>
      <c r="T25" s="10">
        <v>0</v>
      </c>
      <c r="U25" s="10">
        <f>PMT((B34/12),(B35*12),-(B7-(B7*B33)-B$50))*12</f>
        <v>14677.573930495255</v>
      </c>
      <c r="V25" s="10">
        <v>0</v>
      </c>
      <c r="W25" s="10">
        <f>W24-(W24*B$48)</f>
        <v>-1417.4759821107916</v>
      </c>
      <c r="X25" s="10">
        <f t="shared" si="21"/>
        <v>1801.2686704320001</v>
      </c>
      <c r="Y25" s="10">
        <f t="shared" si="22"/>
        <v>5730.5231999999996</v>
      </c>
      <c r="Z25" s="10">
        <v>0</v>
      </c>
      <c r="AA25" s="10">
        <v>0</v>
      </c>
      <c r="AB25" s="10">
        <f t="shared" si="23"/>
        <v>611.62286399999994</v>
      </c>
      <c r="AC25" s="10"/>
      <c r="AD25" s="10"/>
      <c r="AE25" s="10">
        <f>B7*B54</f>
        <v>3833.32</v>
      </c>
      <c r="AF25" s="10">
        <f t="shared" si="24"/>
        <v>25236.832682816465</v>
      </c>
      <c r="AG25" s="10">
        <f t="shared" si="25"/>
        <v>119189.44841508713</v>
      </c>
      <c r="AH25" s="10">
        <f>($B$7-SUM($AH$21:AH24))*B$26</f>
        <v>9606.958771874999</v>
      </c>
      <c r="AI25" s="215">
        <f>($B$37-SUM($AI$22:AI24))*IF('TCO Dashboard'!C$20 = 'Charger database'!A$6,B$28,B$27)</f>
        <v>1900.9982464200002</v>
      </c>
      <c r="AJ25">
        <f t="shared" si="17"/>
        <v>0.85480419102972571</v>
      </c>
      <c r="AK25" s="5">
        <f t="shared" si="14"/>
        <v>24005.789298824115</v>
      </c>
      <c r="AL25" s="5">
        <f t="shared" si="15"/>
        <v>21572.550345587471</v>
      </c>
      <c r="AM25" s="11">
        <f t="shared" si="16"/>
        <v>0</v>
      </c>
    </row>
    <row r="26" spans="1:39" ht="18">
      <c r="A26" s="206" t="s">
        <v>188</v>
      </c>
      <c r="B26" s="206">
        <v>0.15</v>
      </c>
      <c r="C26" s="206" t="s">
        <v>103</v>
      </c>
      <c r="D26" s="206" t="s">
        <v>186</v>
      </c>
      <c r="E26" s="206" t="s">
        <v>189</v>
      </c>
      <c r="H26" s="32">
        <v>5</v>
      </c>
      <c r="I26" s="9"/>
      <c r="J26" s="9">
        <f>PMT((B31/12),(B32*12),-(B6-(B6*B30)))*12</f>
        <v>9291.0537970357909</v>
      </c>
      <c r="K26" s="9">
        <f t="shared" si="18"/>
        <v>6331.1223189375014</v>
      </c>
      <c r="L26" s="9">
        <f>B20*B21*B40</f>
        <v>0</v>
      </c>
      <c r="M26" s="9">
        <f t="shared" si="19"/>
        <v>11365.537680000001</v>
      </c>
      <c r="N26" s="9"/>
      <c r="O26" s="9"/>
      <c r="P26" s="9">
        <f>B55*B6</f>
        <v>1620</v>
      </c>
      <c r="Q26" s="9">
        <f t="shared" si="13"/>
        <v>28607.713795973294</v>
      </c>
      <c r="R26" s="9">
        <f t="shared" si="20"/>
        <v>140678.65936286646</v>
      </c>
      <c r="S26" s="9">
        <f>($B$6-SUM($S$21:S25))*B$25</f>
        <v>4601.3315624999996</v>
      </c>
      <c r="T26" s="10">
        <v>0</v>
      </c>
      <c r="U26" s="10">
        <f>PMT((B34/12),(B35*12),-(B7-(B7*B33)-B$50))*12</f>
        <v>14677.573930495255</v>
      </c>
      <c r="V26" s="10">
        <v>0</v>
      </c>
      <c r="W26" s="10">
        <f>W25-(W25*B$48)</f>
        <v>-1304.0779035419282</v>
      </c>
      <c r="X26" s="10">
        <f t="shared" si="21"/>
        <v>1855.3067305449601</v>
      </c>
      <c r="Y26" s="10">
        <f t="shared" si="22"/>
        <v>5845.133664</v>
      </c>
      <c r="Z26" s="10">
        <v>0</v>
      </c>
      <c r="AA26" s="10">
        <v>0</v>
      </c>
      <c r="AB26" s="10">
        <f t="shared" si="23"/>
        <v>612.64286399999992</v>
      </c>
      <c r="AC26" s="10"/>
      <c r="AD26" s="10"/>
      <c r="AE26" s="10">
        <f>B7*B54</f>
        <v>3833.32</v>
      </c>
      <c r="AF26" s="10">
        <f t="shared" si="24"/>
        <v>25519.899285498286</v>
      </c>
      <c r="AG26" s="10">
        <f t="shared" si="25"/>
        <v>144709.34770058541</v>
      </c>
      <c r="AH26" s="10">
        <f>($B$7-SUM($AH$21:AH25))*B$26</f>
        <v>8165.9149560937494</v>
      </c>
      <c r="AI26" s="215">
        <f>($B$37-SUM($AI$22:AI25))*IF('TCO Dashboard'!C$20 = 'Charger database'!A$6,B$28,B$27)</f>
        <v>1330.6987724940002</v>
      </c>
      <c r="AJ26">
        <f t="shared" si="17"/>
        <v>0.82192710675935154</v>
      </c>
      <c r="AK26" s="5">
        <f t="shared" si="14"/>
        <v>23513.455431323917</v>
      </c>
      <c r="AL26" s="5">
        <f t="shared" si="15"/>
        <v>20975.49698451965</v>
      </c>
      <c r="AM26" s="11">
        <f t="shared" si="16"/>
        <v>0</v>
      </c>
    </row>
    <row r="27" spans="1:39" ht="18">
      <c r="A27" s="206" t="s">
        <v>190</v>
      </c>
      <c r="B27" s="206">
        <v>0.3</v>
      </c>
      <c r="C27" s="206" t="s">
        <v>103</v>
      </c>
      <c r="D27" s="206" t="s">
        <v>186</v>
      </c>
      <c r="E27" s="217" t="s">
        <v>191</v>
      </c>
      <c r="H27" s="32">
        <v>6</v>
      </c>
      <c r="I27" s="9"/>
      <c r="J27" s="9">
        <f>PMT((B31/12),(B32*12),-(B6-(B6*B30)))*12</f>
        <v>9291.0537970357909</v>
      </c>
      <c r="K27" s="9">
        <f t="shared" si="18"/>
        <v>6647.6784348843767</v>
      </c>
      <c r="L27" s="9">
        <f>B20*B21*B40</f>
        <v>0</v>
      </c>
      <c r="M27" s="9">
        <f t="shared" si="19"/>
        <v>11592.848433600002</v>
      </c>
      <c r="N27" s="9"/>
      <c r="O27" s="9"/>
      <c r="P27" s="9">
        <f>B55*B6</f>
        <v>1620</v>
      </c>
      <c r="Q27" s="9">
        <f t="shared" si="13"/>
        <v>29151.580665520167</v>
      </c>
      <c r="R27" s="9">
        <f t="shared" si="20"/>
        <v>169830.24002838662</v>
      </c>
      <c r="S27" s="9">
        <f>($B$6-SUM($S$21:S26))*B$25</f>
        <v>3911.1318281250001</v>
      </c>
      <c r="T27" s="10">
        <v>0</v>
      </c>
      <c r="U27" s="10">
        <f>PMT((B34/12),(B35*12),-(B7-(B7*B33)-B$50))*12</f>
        <v>14677.573930495255</v>
      </c>
      <c r="V27" s="10">
        <v>0</v>
      </c>
      <c r="W27" s="10">
        <v>0</v>
      </c>
      <c r="X27" s="10">
        <f t="shared" si="21"/>
        <v>1910.965932461309</v>
      </c>
      <c r="Y27" s="10">
        <f t="shared" si="22"/>
        <v>5962.0363372800002</v>
      </c>
      <c r="Z27" s="10">
        <v>0</v>
      </c>
      <c r="AA27" s="10">
        <v>0</v>
      </c>
      <c r="AB27" s="10">
        <f t="shared" si="23"/>
        <v>613.6628639999999</v>
      </c>
      <c r="AC27" s="10"/>
      <c r="AD27" s="10"/>
      <c r="AE27" s="10">
        <f>B7*B54</f>
        <v>3833.32</v>
      </c>
      <c r="AF27" s="10">
        <f t="shared" si="24"/>
        <v>26997.559064236564</v>
      </c>
      <c r="AG27" s="10">
        <f t="shared" si="25"/>
        <v>171706.90676482196</v>
      </c>
      <c r="AH27" s="10">
        <f>($B$7-SUM($AH$21:AH26))*B$26</f>
        <v>6941.0277126796873</v>
      </c>
      <c r="AI27" s="215">
        <f>($B$37-SUM($AI$22:AI26))*IF('TCO Dashboard'!C$20 = 'Charger database'!A$6,B$28,B$27)</f>
        <v>931.48914074579989</v>
      </c>
      <c r="AJ27">
        <f t="shared" si="17"/>
        <v>0.79031452573014571</v>
      </c>
      <c r="AK27" s="5">
        <f t="shared" si="14"/>
        <v>23038.917647954655</v>
      </c>
      <c r="AL27" s="5">
        <f t="shared" si="15"/>
        <v>21336.563087723716</v>
      </c>
      <c r="AM27" s="11">
        <f t="shared" si="16"/>
        <v>0</v>
      </c>
    </row>
    <row r="28" spans="1:39" ht="18">
      <c r="A28" s="206" t="s">
        <v>192</v>
      </c>
      <c r="B28" s="206">
        <v>0.5</v>
      </c>
      <c r="C28" s="206" t="s">
        <v>103</v>
      </c>
      <c r="D28" s="206" t="s">
        <v>186</v>
      </c>
      <c r="E28" s="216" t="s">
        <v>193</v>
      </c>
      <c r="H28" s="32">
        <v>7</v>
      </c>
      <c r="I28" s="9"/>
      <c r="J28" s="9">
        <f>PMT((B31/12),(B32*12),-(B6-(B6*B30)))*12</f>
        <v>9291.0537970357909</v>
      </c>
      <c r="K28" s="9">
        <f t="shared" si="18"/>
        <v>6980.0623566285958</v>
      </c>
      <c r="L28" s="9">
        <f>B20*B21*B40</f>
        <v>0</v>
      </c>
      <c r="M28" s="9">
        <f t="shared" si="19"/>
        <v>11824.705402272002</v>
      </c>
      <c r="N28" s="9"/>
      <c r="O28" s="9"/>
      <c r="P28" s="9">
        <f>B55*B6</f>
        <v>1620</v>
      </c>
      <c r="Q28" s="9">
        <f t="shared" si="13"/>
        <v>29715.821555936389</v>
      </c>
      <c r="R28" s="9">
        <f t="shared" si="20"/>
        <v>199546.061584323</v>
      </c>
      <c r="S28" s="9">
        <f>($B$6-SUM($S$21:S27))*B$25</f>
        <v>3324.4620539062503</v>
      </c>
      <c r="T28" s="10">
        <v>0</v>
      </c>
      <c r="U28" s="10">
        <f>PMT((B34/12),(B35*12),-(B7-(B7*B33)-B$50))*12</f>
        <v>14677.573930495255</v>
      </c>
      <c r="V28" s="10">
        <v>0</v>
      </c>
      <c r="W28" s="10">
        <v>0</v>
      </c>
      <c r="X28" s="10">
        <f t="shared" si="21"/>
        <v>1968.2949104351483</v>
      </c>
      <c r="Y28" s="10">
        <f t="shared" si="22"/>
        <v>6081.2770640256003</v>
      </c>
      <c r="Z28" s="10">
        <v>0</v>
      </c>
      <c r="AA28" s="10">
        <v>0</v>
      </c>
      <c r="AB28" s="10">
        <f t="shared" si="23"/>
        <v>614.68286399999988</v>
      </c>
      <c r="AC28" s="10"/>
      <c r="AD28" s="10"/>
      <c r="AE28" s="10">
        <f>B7*B54</f>
        <v>3833.32</v>
      </c>
      <c r="AF28" s="10">
        <f t="shared" si="24"/>
        <v>27175.148768955998</v>
      </c>
      <c r="AG28" s="10">
        <f t="shared" si="25"/>
        <v>198882.05553377795</v>
      </c>
      <c r="AH28" s="10">
        <f>($B$7-SUM($AH$21:AH27))*B$26</f>
        <v>5899.8735557777345</v>
      </c>
      <c r="AI28" s="215">
        <f>($B$37-SUM($AI$22:AI27))*IF('TCO Dashboard'!C$20 = 'Charger database'!A$6,B$28,B$27)</f>
        <v>652.0423985220599</v>
      </c>
      <c r="AJ28">
        <f t="shared" si="17"/>
        <v>0.75991781320206331</v>
      </c>
      <c r="AK28" s="5">
        <f t="shared" si="14"/>
        <v>22581.582134289914</v>
      </c>
      <c r="AL28" s="5">
        <f t="shared" si="15"/>
        <v>20650.879625945785</v>
      </c>
      <c r="AM28" s="11">
        <f t="shared" si="16"/>
        <v>664.00605054505286</v>
      </c>
    </row>
    <row r="29" spans="1:39" ht="18.600000000000001" thickBot="1">
      <c r="A29" s="196" t="s">
        <v>194</v>
      </c>
      <c r="B29" s="196" t="s">
        <v>97</v>
      </c>
      <c r="C29" s="196" t="s">
        <v>98</v>
      </c>
      <c r="D29" s="196" t="s">
        <v>99</v>
      </c>
      <c r="E29" s="196" t="s">
        <v>100</v>
      </c>
      <c r="H29" s="32" t="s">
        <v>152</v>
      </c>
      <c r="I29" s="33"/>
      <c r="J29" s="33"/>
      <c r="K29" s="9"/>
      <c r="L29" s="9"/>
      <c r="M29" s="9"/>
      <c r="N29" s="9">
        <f>-(B6-SUM(S21:S28))</f>
        <v>-18838.61830546875</v>
      </c>
      <c r="O29" s="9"/>
      <c r="P29" s="9"/>
      <c r="Q29" s="9">
        <f t="shared" si="13"/>
        <v>-18838.61830546875</v>
      </c>
      <c r="R29" s="9">
        <f>R28+Q29</f>
        <v>180707.44327885425</v>
      </c>
      <c r="S29" s="9"/>
      <c r="T29" s="10"/>
      <c r="U29" s="10"/>
      <c r="V29" s="10"/>
      <c r="W29" s="10"/>
      <c r="X29" s="10"/>
      <c r="Y29" s="10"/>
      <c r="Z29" s="10"/>
      <c r="AA29" s="10"/>
      <c r="AB29" s="10"/>
      <c r="AC29" s="10">
        <f>-(B7-SUM(AH22:AH28))</f>
        <v>-33432.616816073831</v>
      </c>
      <c r="AD29" s="10">
        <f>-(B37-SUM(AI22:AI28))</f>
        <v>-1521.4322632181393</v>
      </c>
      <c r="AE29" s="10"/>
      <c r="AF29" s="10">
        <f t="shared" si="24"/>
        <v>-34954.049079291974</v>
      </c>
      <c r="AG29" s="10">
        <f>AG28+AF29</f>
        <v>163928.00645448599</v>
      </c>
      <c r="AH29" s="10"/>
      <c r="AI29" s="10"/>
      <c r="AJ29">
        <f>1/(1+$B$2)^11</f>
        <v>0.6495809315632679</v>
      </c>
      <c r="AK29" s="5">
        <f t="shared" si="14"/>
        <v>-12237.207228231222</v>
      </c>
      <c r="AL29" s="5">
        <f t="shared" si="15"/>
        <v>-22705.483762834669</v>
      </c>
      <c r="AM29" s="11">
        <f t="shared" si="16"/>
        <v>16779.436824368255</v>
      </c>
    </row>
    <row r="30" spans="1:39" ht="19.5" thickBot="1">
      <c r="A30" s="197" t="s">
        <v>26</v>
      </c>
      <c r="B30" s="198">
        <f>'TCO Dashboard'!K19</f>
        <v>0.05</v>
      </c>
      <c r="C30" s="197" t="s">
        <v>103</v>
      </c>
      <c r="D30" s="197"/>
      <c r="E30" s="197" t="s">
        <v>105</v>
      </c>
      <c r="H30" s="34" t="s">
        <v>155</v>
      </c>
      <c r="I30" s="14">
        <f>SUM(I22:I29)</f>
        <v>2700</v>
      </c>
      <c r="J30" s="14">
        <f t="shared" ref="J30:N30" si="26">SUM(J21:J29)</f>
        <v>65037.376579250536</v>
      </c>
      <c r="K30" s="14">
        <f t="shared" si="26"/>
        <v>42408.709489200475</v>
      </c>
      <c r="L30" s="14">
        <f t="shared" si="26"/>
        <v>0</v>
      </c>
      <c r="M30" s="14">
        <f t="shared" si="26"/>
        <v>78059.975515872007</v>
      </c>
      <c r="N30" s="14">
        <f t="shared" si="26"/>
        <v>-18838.61830546875</v>
      </c>
      <c r="O30" s="14"/>
      <c r="P30" s="14">
        <f>SUM(P21:P29)</f>
        <v>11340</v>
      </c>
      <c r="Q30" s="14">
        <f>SUM(Q21:Q29)</f>
        <v>180707.44327885425</v>
      </c>
      <c r="R30" s="14"/>
      <c r="S30" s="14">
        <f t="shared" ref="S30:Y30" si="27">SUM(S21:S29)</f>
        <v>35161.38169453125</v>
      </c>
      <c r="T30" s="14">
        <f>SUM(T22:T29)</f>
        <v>4791.6500000000005</v>
      </c>
      <c r="U30" s="14">
        <f t="shared" si="27"/>
        <v>102743.0175134668</v>
      </c>
      <c r="V30" s="14">
        <f>SUM(V22:V29)</f>
        <v>-10000</v>
      </c>
      <c r="W30" s="14">
        <f t="shared" si="27"/>
        <v>-7757.3391512678236</v>
      </c>
      <c r="X30" s="14">
        <f t="shared" si="27"/>
        <v>12630.925258273419</v>
      </c>
      <c r="Y30" s="14">
        <f t="shared" si="27"/>
        <v>40145.130265305597</v>
      </c>
      <c r="Z30" s="14">
        <f>SUM(Z22:Z29)</f>
        <v>15214.071599999999</v>
      </c>
      <c r="AA30" s="14">
        <f t="shared" ref="AA30" si="28">SUM(AA21:AA29)</f>
        <v>0</v>
      </c>
      <c r="AB30" s="14">
        <f>SUM(AB21:AB29)</f>
        <v>4281.3600479999996</v>
      </c>
      <c r="AC30" s="14">
        <f>SUM(AC21:AC29)</f>
        <v>-33432.616816073831</v>
      </c>
      <c r="AD30" s="14">
        <f>SUM(AD21:AD29)</f>
        <v>-1521.4322632181393</v>
      </c>
      <c r="AE30" s="14">
        <f>SUM(AE21:AE29)</f>
        <v>26833.24</v>
      </c>
      <c r="AF30" s="14">
        <f>SUM(AF21:AF29)</f>
        <v>163928.00645448599</v>
      </c>
      <c r="AG30" s="14"/>
      <c r="AH30" s="14">
        <f>SUM(AH21:AH29)</f>
        <v>62400.383183926169</v>
      </c>
      <c r="AI30" s="14">
        <f>SUM(AI21:AI29)</f>
        <v>13692.63933678186</v>
      </c>
      <c r="AJ30" s="14"/>
      <c r="AK30" s="77"/>
      <c r="AL30" s="78"/>
    </row>
    <row r="31" spans="1:39" ht="19.5" thickBot="1">
      <c r="A31" s="197" t="s">
        <v>195</v>
      </c>
      <c r="B31" s="207">
        <f>'TCO Dashboard'!K20</f>
        <v>7.0000000000000007E-2</v>
      </c>
      <c r="C31" s="208" t="s">
        <v>103</v>
      </c>
      <c r="D31" s="209"/>
      <c r="E31" s="209" t="s">
        <v>105</v>
      </c>
      <c r="H31" s="34" t="s">
        <v>157</v>
      </c>
      <c r="I31" s="14" t="e">
        <f>SUMPRODUCT(I22:I29,$AJ21:$AJ29)</f>
        <v>#VALUE!</v>
      </c>
      <c r="J31" s="14">
        <f>SUMPRODUCT(J21:J29,$AJ21:$AJ29)</f>
        <v>55765.412831240617</v>
      </c>
      <c r="K31" s="14">
        <f>SUMPRODUCT(K21:K29,$AJ21:$AJ29)</f>
        <v>36085.740816640428</v>
      </c>
      <c r="L31" s="14">
        <f>SUMPRODUCT(L21:L29,$AJ21:$AJ29)</f>
        <v>0</v>
      </c>
      <c r="M31" s="14">
        <f>SUMPRODUCT(M21:M29,$AJ21:$AJ29)</f>
        <v>66723.982176288642</v>
      </c>
      <c r="N31" s="14">
        <f>SUMPRODUCT(N21:N29,$AJ21:$AJ29)</f>
        <v>-12237.207228231222</v>
      </c>
      <c r="O31" s="14"/>
      <c r="P31" s="14">
        <f>SUMPRODUCT(P21:P29,$AJ21:$AJ29)</f>
        <v>9723.3285653164312</v>
      </c>
      <c r="Q31" s="14">
        <f>SUMPRODUCT(Q21:Q29,$AJ21:$AJ29)</f>
        <v>158657.41100740872</v>
      </c>
      <c r="R31" s="14"/>
      <c r="S31" s="14">
        <f>SUMPRODUCT(S21:S29,$AJ21:$AJ29)</f>
        <v>30509.792238235485</v>
      </c>
      <c r="T31" s="14" t="e">
        <f>SUMPRODUCT(T22:T29,$AJ21:$AJ29)</f>
        <v>#VALUE!</v>
      </c>
      <c r="U31" s="14">
        <f>SUMPRODUCT(U21:U29,$AJ21:$AJ29)</f>
        <v>88095.601153042138</v>
      </c>
      <c r="V31" s="14" t="e">
        <f>SUMPRODUCT(V22:V29,$AJ21:$AJ29)</f>
        <v>#VALUE!</v>
      </c>
      <c r="W31" s="14">
        <f>SUMPRODUCT(W21:W29,$AJ21:$AJ29)</f>
        <v>-6951.9198614395254</v>
      </c>
      <c r="X31" s="14">
        <f>SUMPRODUCT(X21:X29,$AJ21:$AJ29)</f>
        <v>10780.136500313216</v>
      </c>
      <c r="Y31" s="14">
        <f>SUMPRODUCT(Y21:Y29,$AJ21:$AJ29)</f>
        <v>34315.190833519875</v>
      </c>
      <c r="Z31" s="14" t="e">
        <f>SUMPRODUCT(Z22:Z29,$AJ21:$AJ29)</f>
        <v>#VALUE!</v>
      </c>
      <c r="AA31" s="14">
        <f>SUMPRODUCT(AA21:AA29,$AJ21:$AJ29)</f>
        <v>0</v>
      </c>
      <c r="AB31" s="14">
        <f>SUMPRODUCT(AB21:AB29,$AJ21:$AJ29)</f>
        <v>3670.0346442554974</v>
      </c>
      <c r="AC31" s="14">
        <f>SUMPRODUCT(AC21:AC29,$AJ21:$AJ29)</f>
        <v>-21717.190375983013</v>
      </c>
      <c r="AD31" s="14"/>
      <c r="AE31" s="14">
        <f>SUMPRODUCT(AE21:AE29,$AJ21:$AJ29)</f>
        <v>23007.796207406649</v>
      </c>
      <c r="AF31" s="14">
        <f>SUMPRODUCT(AF21:AF29,$AJ21:$AJ29)</f>
        <v>149447.62648349398</v>
      </c>
      <c r="AG31" s="14"/>
      <c r="AH31" s="14">
        <f>SUMPRODUCT(AH21:AH29,$AJ21:$AJ29)</f>
        <v>54145.276288274472</v>
      </c>
      <c r="AI31" s="14">
        <f>SUMPRODUCT(AI21:AI29,$AJ21:$AJ29)</f>
        <v>12145.879254353122</v>
      </c>
      <c r="AJ31" s="14"/>
      <c r="AK31" s="15">
        <f>SUM(AK21:AK29)</f>
        <v>158657.41100740872</v>
      </c>
      <c r="AL31" s="16">
        <f>SUM(AL21:AL29)</f>
        <v>149447.62648349398</v>
      </c>
    </row>
    <row r="32" spans="1:39" ht="18">
      <c r="A32" s="197" t="s">
        <v>34</v>
      </c>
      <c r="B32" s="197">
        <f>'TCO Dashboard'!K21</f>
        <v>7</v>
      </c>
      <c r="C32" s="197" t="s">
        <v>180</v>
      </c>
      <c r="D32" s="197"/>
      <c r="E32" s="197"/>
    </row>
    <row r="33" spans="1:39" ht="18">
      <c r="A33" s="197" t="s">
        <v>35</v>
      </c>
      <c r="B33" s="198">
        <f>'TCO Dashboard'!K22</f>
        <v>0.05</v>
      </c>
      <c r="C33" s="208" t="s">
        <v>103</v>
      </c>
      <c r="D33" s="209"/>
      <c r="E33" s="209" t="s">
        <v>105</v>
      </c>
    </row>
    <row r="34" spans="1:39" ht="18">
      <c r="A34" s="197" t="s">
        <v>36</v>
      </c>
      <c r="B34" s="207">
        <f>'TCO Dashboard'!K23</f>
        <v>7.0000000000000007E-2</v>
      </c>
      <c r="C34" s="197" t="s">
        <v>103</v>
      </c>
      <c r="D34" s="197"/>
      <c r="E34" s="197" t="s">
        <v>105</v>
      </c>
      <c r="W34" s="11"/>
      <c r="X34" s="13"/>
      <c r="Y34" s="11"/>
    </row>
    <row r="35" spans="1:39" ht="18">
      <c r="A35" s="197" t="s">
        <v>37</v>
      </c>
      <c r="B35" s="197">
        <f>'TCO Dashboard'!K24</f>
        <v>7</v>
      </c>
      <c r="C35" s="197" t="s">
        <v>180</v>
      </c>
      <c r="D35" s="197"/>
      <c r="E35" s="197"/>
    </row>
    <row r="36" spans="1:39" ht="18">
      <c r="A36" s="196" t="s">
        <v>196</v>
      </c>
      <c r="B36" s="196" t="s">
        <v>97</v>
      </c>
      <c r="C36" s="196" t="s">
        <v>98</v>
      </c>
      <c r="D36" s="196" t="s">
        <v>99</v>
      </c>
      <c r="E36" s="196" t="s">
        <v>100</v>
      </c>
      <c r="H36" s="29" t="s">
        <v>93</v>
      </c>
      <c r="I36" s="35"/>
      <c r="K36" s="13"/>
    </row>
    <row r="37" spans="1:39" ht="18">
      <c r="A37" s="199" t="s">
        <v>197</v>
      </c>
      <c r="B37" s="200">
        <f>IF('TCO Dashboard'!F31=TRUE, 'TCO Dashboard'!E31,_xlfn.XLOOKUP('TCO Dashboard'!C20,Charger_DB[Charger type],Charger_DB[Purchase + installation cost$ CAD]))</f>
        <v>15214.071599999999</v>
      </c>
      <c r="C37" s="199" t="s">
        <v>198</v>
      </c>
      <c r="D37" s="199" t="s">
        <v>199</v>
      </c>
      <c r="E37" s="210" t="s">
        <v>105</v>
      </c>
      <c r="H37" s="31" t="s">
        <v>107</v>
      </c>
      <c r="I37" s="7" t="s">
        <v>171</v>
      </c>
      <c r="J37" s="7" t="s">
        <v>172</v>
      </c>
      <c r="K37" s="7" t="s">
        <v>109</v>
      </c>
      <c r="L37" s="7" t="s">
        <v>110</v>
      </c>
      <c r="M37" s="7" t="s">
        <v>111</v>
      </c>
      <c r="N37" s="7" t="s">
        <v>112</v>
      </c>
      <c r="O37" s="7"/>
      <c r="P37" s="7" t="s">
        <v>113</v>
      </c>
      <c r="Q37" s="59" t="s">
        <v>114</v>
      </c>
      <c r="R37" s="59" t="s">
        <v>115</v>
      </c>
      <c r="S37" s="7" t="s">
        <v>116</v>
      </c>
      <c r="T37" s="8" t="s">
        <v>173</v>
      </c>
      <c r="U37" s="8" t="s">
        <v>174</v>
      </c>
      <c r="V37" s="8" t="s">
        <v>175</v>
      </c>
      <c r="W37" s="8" t="s">
        <v>119</v>
      </c>
      <c r="X37" s="8" t="s">
        <v>120</v>
      </c>
      <c r="Y37" s="8" t="s">
        <v>121</v>
      </c>
      <c r="Z37" s="8" t="s">
        <v>200</v>
      </c>
      <c r="AA37" s="8" t="s">
        <v>201</v>
      </c>
      <c r="AB37" s="8"/>
      <c r="AC37" s="8" t="s">
        <v>202</v>
      </c>
      <c r="AD37" s="8" t="s">
        <v>125</v>
      </c>
      <c r="AE37" s="8" t="s">
        <v>126</v>
      </c>
      <c r="AF37" s="60" t="s">
        <v>127</v>
      </c>
      <c r="AG37" s="60" t="s">
        <v>128</v>
      </c>
      <c r="AH37" s="8" t="s">
        <v>129</v>
      </c>
      <c r="AI37" s="8" t="s">
        <v>130</v>
      </c>
      <c r="AJ37" s="6" t="s">
        <v>131</v>
      </c>
      <c r="AK37" s="6" t="s">
        <v>133</v>
      </c>
      <c r="AL37" s="6" t="s">
        <v>134</v>
      </c>
      <c r="AM37" s="6" t="s">
        <v>132</v>
      </c>
    </row>
    <row r="38" spans="1:39" ht="18">
      <c r="A38" s="197" t="s">
        <v>203</v>
      </c>
      <c r="B38" s="197">
        <f>1/'TCO Dashboard'!F21</f>
        <v>1</v>
      </c>
      <c r="C38" s="211" t="s">
        <v>103</v>
      </c>
      <c r="D38" s="197" t="s">
        <v>204</v>
      </c>
      <c r="E38" s="211" t="s">
        <v>205</v>
      </c>
      <c r="H38" s="32">
        <v>0</v>
      </c>
      <c r="I38" s="9"/>
      <c r="J38" s="9"/>
      <c r="K38" s="9">
        <v>0</v>
      </c>
      <c r="L38" s="9"/>
      <c r="M38" s="9">
        <v>0</v>
      </c>
      <c r="N38" s="9"/>
      <c r="O38" s="9"/>
      <c r="P38" s="9"/>
      <c r="Q38" s="9">
        <f t="shared" ref="Q38:Q46" si="29">SUM(I38:P38)</f>
        <v>0</v>
      </c>
      <c r="R38" s="9">
        <f>Q38</f>
        <v>0</v>
      </c>
      <c r="S38" s="9">
        <v>0</v>
      </c>
      <c r="T38" s="10"/>
      <c r="U38" s="10"/>
      <c r="V38" s="10"/>
      <c r="W38" s="10"/>
      <c r="X38" s="10">
        <v>0</v>
      </c>
      <c r="Y38" s="10">
        <v>0</v>
      </c>
      <c r="Z38" s="10"/>
      <c r="AA38" s="10"/>
      <c r="AB38" s="10"/>
      <c r="AC38" s="10"/>
      <c r="AD38" s="10"/>
      <c r="AE38" s="10"/>
      <c r="AF38" s="10">
        <f>SUM(T38:AE38)</f>
        <v>0</v>
      </c>
      <c r="AG38" s="10">
        <f>AF38</f>
        <v>0</v>
      </c>
      <c r="AH38" s="10">
        <v>0</v>
      </c>
      <c r="AI38" s="10">
        <v>0</v>
      </c>
      <c r="AJ38">
        <f>1</f>
        <v>1</v>
      </c>
      <c r="AK38" s="5">
        <f t="shared" ref="AK38:AK46" si="30">AJ38*Q38</f>
        <v>0</v>
      </c>
      <c r="AL38" s="5">
        <f t="shared" ref="AL38:AL46" si="31">AJ38*AF38</f>
        <v>0</v>
      </c>
      <c r="AM38" s="11">
        <f t="shared" ref="AM38:AM46" si="32">MAX(R38-AG38,0)</f>
        <v>0</v>
      </c>
    </row>
    <row r="39" spans="1:39" ht="18">
      <c r="A39" s="196" t="s">
        <v>206</v>
      </c>
      <c r="B39" s="196" t="s">
        <v>97</v>
      </c>
      <c r="C39" s="196" t="s">
        <v>98</v>
      </c>
      <c r="D39" s="196" t="s">
        <v>99</v>
      </c>
      <c r="E39" s="196" t="s">
        <v>100</v>
      </c>
      <c r="H39" s="32">
        <v>1</v>
      </c>
      <c r="I39" s="9">
        <f>B30*B6</f>
        <v>2700</v>
      </c>
      <c r="J39" s="9">
        <f>PMT((B31/12),(B32*12),-(B6-(B6*B30)))*12</f>
        <v>9291.0537970357909</v>
      </c>
      <c r="K39" s="9">
        <f>(B$20*B$21)*B$9</f>
        <v>5208.63</v>
      </c>
      <c r="L39" s="9">
        <f>B20*B21*B40</f>
        <v>0</v>
      </c>
      <c r="M39" s="9">
        <f>B14*B21</f>
        <v>10500</v>
      </c>
      <c r="N39" s="9"/>
      <c r="O39" s="9"/>
      <c r="P39" s="9">
        <f>B55*B6</f>
        <v>1620</v>
      </c>
      <c r="Q39" s="9">
        <f>SUM(I39:P39)</f>
        <v>29319.683797035792</v>
      </c>
      <c r="R39" s="9">
        <f>R38+Q39</f>
        <v>29319.683797035792</v>
      </c>
      <c r="S39" s="9">
        <f>($B$6-SUM($S$38:S38))*B$25</f>
        <v>8100</v>
      </c>
      <c r="T39" s="10">
        <f>B33*B7</f>
        <v>4791.6500000000005</v>
      </c>
      <c r="U39" s="10">
        <f>PMT((B34/12),(B35*12),-(B7-(B7*B33)-B$50))*12</f>
        <v>14677.573930495255</v>
      </c>
      <c r="V39" s="10">
        <f>-B50</f>
        <v>-10000</v>
      </c>
      <c r="W39" s="10">
        <f>-B41-B43</f>
        <v>-1820.3388033599997</v>
      </c>
      <c r="X39" s="10">
        <f>(B$19*B$10)*B$21</f>
        <v>1648.4159999999999</v>
      </c>
      <c r="Y39" s="10">
        <f>B$15*B$21</f>
        <v>5400</v>
      </c>
      <c r="Z39" s="10">
        <f>(((B37*B38)-B52)*1.8)/7</f>
        <v>3912.18984</v>
      </c>
      <c r="AA39" s="10">
        <f>-B52</f>
        <v>0</v>
      </c>
      <c r="AB39" s="10"/>
      <c r="AC39" s="10"/>
      <c r="AD39" s="10"/>
      <c r="AE39" s="10">
        <f>B7*B54</f>
        <v>3833.32</v>
      </c>
      <c r="AF39" s="10">
        <f>SUM(T39:AE39)-V39-AA39</f>
        <v>32442.810967135258</v>
      </c>
      <c r="AG39" s="10">
        <f>AG38+AF39</f>
        <v>32442.810967135258</v>
      </c>
      <c r="AH39" s="10">
        <f>($B$7-SUM($AH$38:AH38))*B$26*0.5</f>
        <v>7187.4749999999995</v>
      </c>
      <c r="AI39" s="215">
        <f>0.5*($B$37)*IF('TCO Dashboard'!C20 = 'Charger database'!A$6,B$28,B$27)</f>
        <v>2282.1107399999996</v>
      </c>
      <c r="AJ39">
        <f t="shared" ref="AJ39:AJ45" si="33">1/(1+$B$2)^H39</f>
        <v>0.96153846153846145</v>
      </c>
      <c r="AK39" s="5">
        <f t="shared" si="30"/>
        <v>28192.00365099595</v>
      </c>
      <c r="AL39" s="5">
        <f t="shared" si="31"/>
        <v>31195.010545322359</v>
      </c>
      <c r="AM39" s="11">
        <f t="shared" si="32"/>
        <v>0</v>
      </c>
    </row>
    <row r="40" spans="1:39" ht="18">
      <c r="A40" s="199" t="s">
        <v>207</v>
      </c>
      <c r="B40" s="199">
        <v>0</v>
      </c>
      <c r="C40" s="212" t="s">
        <v>144</v>
      </c>
      <c r="D40" s="204" t="s">
        <v>208</v>
      </c>
      <c r="E40" s="212" t="s">
        <v>105</v>
      </c>
      <c r="H40" s="32">
        <v>2</v>
      </c>
      <c r="I40" s="9"/>
      <c r="J40" s="9">
        <f>PMT((B31/12),(B32*12),-(B6-(B6*B30)))*12</f>
        <v>9291.0537970357909</v>
      </c>
      <c r="K40" s="9">
        <f t="shared" ref="K40:K45" si="34">K39*(1+B$11)</f>
        <v>5469.0615000000007</v>
      </c>
      <c r="L40" s="9">
        <f>B20*B21*B40</f>
        <v>0</v>
      </c>
      <c r="M40" s="9">
        <f t="shared" ref="M40:M45" si="35">M39*(1+B$16)</f>
        <v>10710</v>
      </c>
      <c r="N40" s="9"/>
      <c r="O40" s="9"/>
      <c r="P40" s="9">
        <f>B55*B6</f>
        <v>1620</v>
      </c>
      <c r="Q40" s="9">
        <f t="shared" si="29"/>
        <v>27090.115297035791</v>
      </c>
      <c r="R40" s="9">
        <f t="shared" ref="R40:R45" si="36">R39+Q40</f>
        <v>56409.799094071583</v>
      </c>
      <c r="S40" s="9">
        <f>($B$6-SUM($S$38:S39))*B$25</f>
        <v>6885</v>
      </c>
      <c r="T40" s="10">
        <v>0</v>
      </c>
      <c r="U40" s="10">
        <f>PMT((B34/12),(B35*12),-(B7-(B7*B33)-B$50))*12</f>
        <v>14677.573930495255</v>
      </c>
      <c r="V40" s="10"/>
      <c r="W40" s="10">
        <f>W39-(W39*B$48)</f>
        <v>-1674.7116990911998</v>
      </c>
      <c r="X40" s="10">
        <f t="shared" ref="X40:X45" si="37">X39*(1+B$12)</f>
        <v>1697.8684800000001</v>
      </c>
      <c r="Y40" s="10">
        <f t="shared" ref="Y40:Y45" si="38">Y39*(1+B$16)</f>
        <v>5508</v>
      </c>
      <c r="Z40" s="10">
        <f>(((B37*B38)-B52)*1.8)/7</f>
        <v>3912.18984</v>
      </c>
      <c r="AA40" s="10"/>
      <c r="AB40" s="10"/>
      <c r="AC40" s="10"/>
      <c r="AD40" s="10"/>
      <c r="AE40" s="10">
        <f>B7*B54</f>
        <v>3833.32</v>
      </c>
      <c r="AF40" s="10">
        <f t="shared" ref="AF40:AF46" si="39">SUM(T40:AE40)</f>
        <v>27954.240551404055</v>
      </c>
      <c r="AG40" s="10">
        <f t="shared" ref="AG40:AG45" si="40">AG39+AF40</f>
        <v>60397.051518539316</v>
      </c>
      <c r="AH40" s="10">
        <f>($B$7-SUM($AH$38:AH39))*B$26</f>
        <v>13296.828749999999</v>
      </c>
      <c r="AI40" s="215">
        <f>($B$37-SUM($AI$39:AI39))*IF('TCO Dashboard'!C$20 = 'Charger database'!A$6,B$28,B$27)</f>
        <v>3879.5882579999998</v>
      </c>
      <c r="AJ40">
        <f t="shared" si="33"/>
        <v>0.92455621301775137</v>
      </c>
      <c r="AK40" s="5">
        <f t="shared" si="30"/>
        <v>25046.334409241666</v>
      </c>
      <c r="AL40" s="5">
        <f t="shared" si="31"/>
        <v>25845.266781993392</v>
      </c>
      <c r="AM40" s="11">
        <f t="shared" si="32"/>
        <v>0</v>
      </c>
    </row>
    <row r="41" spans="1:39" ht="18">
      <c r="A41" s="199" t="s">
        <v>209</v>
      </c>
      <c r="B41" s="199" cm="1">
        <f t="array" ref="B41">IF(OR(
_xlfn.XLOOKUP('TCO Dashboard'!C19,EV_DB[Make &amp; Model],EV_DB[Category],"not found")="light duty",
_xlfn.XLOOKUP('TCO Dashboard'!C19,EV_DB[Make &amp; Model],EV_DB[Category],"not found")="medium duty"),
('Cost analysis - purchase'!B21*B19)*(_xlfn.XLOOKUP(1,(CFR_DB[Vehicle type] = "Light + medium duty")*(CFR_DB[Province]='TCO Dashboard'!F19),CFR_DB[Marginal CFR $ value per kWh dispensed])),
('Cost analysis - purchase'!B21*B19)*(_xlfn.XLOOKUP(1,(CFR_DB[Vehicle type] = "Heavy duty")*(CFR_DB[Province]='TCO Dashboard'!F19),CFR_DB[Marginal CFR $ value per kWh dispensed])))</f>
        <v>1820.3388033599997</v>
      </c>
      <c r="C41" s="199" t="s">
        <v>210</v>
      </c>
      <c r="D41" s="199" t="s">
        <v>211</v>
      </c>
      <c r="E41" s="199" t="s">
        <v>212</v>
      </c>
      <c r="H41" s="32">
        <v>3</v>
      </c>
      <c r="I41" s="9"/>
      <c r="J41" s="9">
        <f>PMT((B31/12),(B32*12),-(B6-(B6*B30)))*12</f>
        <v>9291.0537970357909</v>
      </c>
      <c r="K41" s="9">
        <f t="shared" si="34"/>
        <v>5742.5145750000011</v>
      </c>
      <c r="L41" s="9">
        <f>B20*B21*B40</f>
        <v>0</v>
      </c>
      <c r="M41" s="9">
        <f t="shared" si="35"/>
        <v>10924.2</v>
      </c>
      <c r="N41" s="9"/>
      <c r="O41" s="9"/>
      <c r="P41" s="9">
        <f>B55*B6</f>
        <v>1620</v>
      </c>
      <c r="Q41" s="9">
        <f t="shared" si="29"/>
        <v>27577.768372035793</v>
      </c>
      <c r="R41" s="9">
        <f t="shared" si="36"/>
        <v>83987.567466107372</v>
      </c>
      <c r="S41" s="9">
        <f>($B$6-SUM($S$38:S40))*B$25</f>
        <v>5852.25</v>
      </c>
      <c r="T41" s="10">
        <v>0</v>
      </c>
      <c r="U41" s="10">
        <f>PMT((B34/12),(B35*12),-(B7-(B7*B33)-B$50))*12</f>
        <v>14677.573930495255</v>
      </c>
      <c r="V41" s="10"/>
      <c r="W41" s="10">
        <f>W40-(W40*B$48)</f>
        <v>-1540.7347631639038</v>
      </c>
      <c r="X41" s="10">
        <f t="shared" si="37"/>
        <v>1748.8045344000002</v>
      </c>
      <c r="Y41" s="10">
        <f t="shared" si="38"/>
        <v>5618.16</v>
      </c>
      <c r="Z41" s="10">
        <f>(((B37*B38)-B52)*1.8)/7</f>
        <v>3912.18984</v>
      </c>
      <c r="AA41" s="10"/>
      <c r="AB41" s="10"/>
      <c r="AC41" s="10"/>
      <c r="AD41" s="10"/>
      <c r="AE41" s="10">
        <f>B7*B54</f>
        <v>3833.32</v>
      </c>
      <c r="AF41" s="10">
        <f t="shared" si="39"/>
        <v>28249.31354173135</v>
      </c>
      <c r="AG41" s="10">
        <f t="shared" si="40"/>
        <v>88646.365060270662</v>
      </c>
      <c r="AH41" s="10">
        <f>($B$7-SUM($AH$38:AH40))*B$26</f>
        <v>11302.304437500001</v>
      </c>
      <c r="AI41" s="215">
        <f>($B$37-SUM($AI$39:AI40))*IF('TCO Dashboard'!C$20 = 'Charger database'!A$6,B$28,B$27)</f>
        <v>2715.7117805999997</v>
      </c>
      <c r="AJ41">
        <f t="shared" si="33"/>
        <v>0.88899635867091487</v>
      </c>
      <c r="AK41" s="5">
        <f t="shared" si="30"/>
        <v>24516.535663009745</v>
      </c>
      <c r="AL41" s="5">
        <f t="shared" si="31"/>
        <v>25113.536873552137</v>
      </c>
      <c r="AM41" s="11">
        <f t="shared" si="32"/>
        <v>0</v>
      </c>
    </row>
    <row r="42" spans="1:39" ht="18">
      <c r="A42" s="199" t="s">
        <v>213</v>
      </c>
      <c r="B42" s="199">
        <v>2030</v>
      </c>
      <c r="C42" s="199" t="s">
        <v>214</v>
      </c>
      <c r="D42" s="199"/>
      <c r="E42" s="199"/>
      <c r="H42" s="32">
        <v>4</v>
      </c>
      <c r="I42" s="9"/>
      <c r="J42" s="9">
        <f>PMT((B31/12),(B32*12),-(B6-(B6*B30)))*12</f>
        <v>9291.0537970357909</v>
      </c>
      <c r="K42" s="9">
        <f t="shared" si="34"/>
        <v>6029.6403037500013</v>
      </c>
      <c r="L42" s="9">
        <f>B20*B21*B40</f>
        <v>0</v>
      </c>
      <c r="M42" s="9">
        <f t="shared" si="35"/>
        <v>11142.684000000001</v>
      </c>
      <c r="N42" s="9"/>
      <c r="O42" s="9"/>
      <c r="P42" s="9">
        <f>B55*B6</f>
        <v>1620</v>
      </c>
      <c r="Q42" s="9">
        <f t="shared" si="29"/>
        <v>28083.378100785794</v>
      </c>
      <c r="R42" s="9">
        <f t="shared" si="36"/>
        <v>112070.94556689316</v>
      </c>
      <c r="S42" s="9">
        <f>($B$6-SUM($S$38:S41))*B$25</f>
        <v>4974.4124999999995</v>
      </c>
      <c r="T42" s="10">
        <v>0</v>
      </c>
      <c r="U42" s="10">
        <f>PMT((B34/12),(B35*12),-(B7-(B7*B33)-B$50))*12</f>
        <v>14677.573930495255</v>
      </c>
      <c r="V42" s="10"/>
      <c r="W42" s="10">
        <f>W41-(W41*B$48)</f>
        <v>-1417.4759821107916</v>
      </c>
      <c r="X42" s="10">
        <f t="shared" si="37"/>
        <v>1801.2686704320001</v>
      </c>
      <c r="Y42" s="10">
        <f t="shared" si="38"/>
        <v>5730.5231999999996</v>
      </c>
      <c r="Z42" s="10">
        <f>(((B37*B38)-B52)*1.8)/7</f>
        <v>3912.18984</v>
      </c>
      <c r="AA42" s="10"/>
      <c r="AB42" s="10"/>
      <c r="AC42" s="10"/>
      <c r="AD42" s="10"/>
      <c r="AE42" s="10">
        <f>B7*B54</f>
        <v>3833.32</v>
      </c>
      <c r="AF42" s="10">
        <f t="shared" si="39"/>
        <v>28537.399658816463</v>
      </c>
      <c r="AG42" s="10">
        <f t="shared" si="40"/>
        <v>117183.76471908712</v>
      </c>
      <c r="AH42" s="10">
        <f>($B$7-SUM($AH$38:AH41))*B$26</f>
        <v>9606.958771874999</v>
      </c>
      <c r="AI42" s="215">
        <f>($B$37-SUM($AI$39:AI41))*IF('TCO Dashboard'!C$20 = 'Charger database'!A$6,B$28,B$27)</f>
        <v>1900.9982464200002</v>
      </c>
      <c r="AJ42">
        <f t="shared" si="33"/>
        <v>0.85480419102972571</v>
      </c>
      <c r="AK42" s="5">
        <f t="shared" si="30"/>
        <v>24005.789298824115</v>
      </c>
      <c r="AL42" s="5">
        <f t="shared" si="31"/>
        <v>24393.888829446576</v>
      </c>
      <c r="AM42" s="11">
        <f t="shared" si="32"/>
        <v>0</v>
      </c>
    </row>
    <row r="43" spans="1:39" ht="18">
      <c r="A43" s="199" t="s">
        <v>215</v>
      </c>
      <c r="B43" s="199">
        <f>IF(AND('TCO Dashboard'!F19="BC",OR(
_xlfn.XLOOKUP('TCO Dashboard'!C19,EV_DB[Make &amp; Model],EV_DB[Category],"not found")="light duty",
_xlfn.XLOOKUP('TCO Dashboard'!C19,EV_DB[Make &amp; Model],EV_DB[Category],"not found")="medium duty")),
('Cost analysis - purchase'!B21*B19)*B45*B44,
IF(AND('TCO Dashboard'!F19="BC", _xlfn.XLOOKUP('TCO Dashboard'!C19,EV_DB[Make &amp; Model],EV_DB[Category],"not found")="heavy duty"),('Cost analysis - purchase'!B21*B19)*B46*B44,0))</f>
        <v>0</v>
      </c>
      <c r="C43" s="199" t="s">
        <v>210</v>
      </c>
      <c r="D43" s="199"/>
      <c r="E43" s="199"/>
      <c r="H43" s="32">
        <v>5</v>
      </c>
      <c r="I43" s="9"/>
      <c r="J43" s="9">
        <f>PMT((B31/12),(B32*12),-(B6-(B6*B30)))*12</f>
        <v>9291.0537970357909</v>
      </c>
      <c r="K43" s="9">
        <f t="shared" si="34"/>
        <v>6331.1223189375014</v>
      </c>
      <c r="L43" s="9">
        <f>B20*B21*B40</f>
        <v>0</v>
      </c>
      <c r="M43" s="9">
        <f t="shared" si="35"/>
        <v>11365.537680000001</v>
      </c>
      <c r="N43" s="9"/>
      <c r="O43" s="9"/>
      <c r="P43" s="9">
        <f>B55*B6</f>
        <v>1620</v>
      </c>
      <c r="Q43" s="9">
        <f t="shared" si="29"/>
        <v>28607.713795973294</v>
      </c>
      <c r="R43" s="9">
        <f t="shared" si="36"/>
        <v>140678.65936286646</v>
      </c>
      <c r="S43" s="9">
        <f>($B$6-SUM($S$38:S42))*B$25</f>
        <v>4228.2506249999997</v>
      </c>
      <c r="T43" s="10">
        <v>0</v>
      </c>
      <c r="U43" s="10">
        <f>PMT((B34/12),(B35*12),-(B7-(B7*B33)-B$50))*12</f>
        <v>14677.573930495255</v>
      </c>
      <c r="V43" s="10"/>
      <c r="W43" s="10">
        <f>W42-(W42*B$48)</f>
        <v>-1304.0779035419282</v>
      </c>
      <c r="X43" s="10">
        <f t="shared" si="37"/>
        <v>1855.3067305449601</v>
      </c>
      <c r="Y43" s="10">
        <f t="shared" si="38"/>
        <v>5845.133664</v>
      </c>
      <c r="Z43" s="10">
        <f>(((B37*B38)-B52)*1.8)/7</f>
        <v>3912.18984</v>
      </c>
      <c r="AA43" s="10"/>
      <c r="AB43" s="10"/>
      <c r="AC43" s="10"/>
      <c r="AD43" s="10"/>
      <c r="AE43" s="10">
        <f>B7*B54</f>
        <v>3833.32</v>
      </c>
      <c r="AF43" s="10">
        <f t="shared" si="39"/>
        <v>28819.446261498284</v>
      </c>
      <c r="AG43" s="10">
        <f t="shared" si="40"/>
        <v>146003.2109805854</v>
      </c>
      <c r="AH43" s="10">
        <f>($B$7-SUM($AH$38:AH42))*B$26</f>
        <v>8165.9149560937494</v>
      </c>
      <c r="AI43" s="215">
        <f>($B$37-SUM($AI$39:AI42))*IF('TCO Dashboard'!C$20 = 'Charger database'!A$6,B$28,B$27)</f>
        <v>1330.6987724940002</v>
      </c>
      <c r="AJ43">
        <f t="shared" si="33"/>
        <v>0.82192710675935154</v>
      </c>
      <c r="AK43" s="5">
        <f t="shared" si="30"/>
        <v>23513.455431323917</v>
      </c>
      <c r="AL43" s="5">
        <f t="shared" si="31"/>
        <v>23687.484084119897</v>
      </c>
      <c r="AM43" s="11">
        <f t="shared" si="32"/>
        <v>0</v>
      </c>
    </row>
    <row r="44" spans="1:39" ht="18">
      <c r="A44" s="199" t="s">
        <v>216</v>
      </c>
      <c r="B44" s="199">
        <v>190</v>
      </c>
      <c r="C44" s="199" t="s">
        <v>210</v>
      </c>
      <c r="D44" s="199"/>
      <c r="E44" s="199"/>
      <c r="H44" s="32">
        <v>6</v>
      </c>
      <c r="I44" s="9"/>
      <c r="J44" s="9">
        <f>PMT((B31/12),(B32*12),-(B6-(B6*B30)))*12</f>
        <v>9291.0537970357909</v>
      </c>
      <c r="K44" s="9">
        <f t="shared" si="34"/>
        <v>6647.6784348843767</v>
      </c>
      <c r="L44" s="9">
        <f>B20*B21*B40</f>
        <v>0</v>
      </c>
      <c r="M44" s="9">
        <f t="shared" si="35"/>
        <v>11592.848433600002</v>
      </c>
      <c r="N44" s="9"/>
      <c r="O44" s="9"/>
      <c r="P44" s="9">
        <f>B55*B6</f>
        <v>1620</v>
      </c>
      <c r="Q44" s="9">
        <f t="shared" si="29"/>
        <v>29151.580665520167</v>
      </c>
      <c r="R44" s="9">
        <f t="shared" si="36"/>
        <v>169830.24002838662</v>
      </c>
      <c r="S44" s="9">
        <f>($B$6-SUM($S$38:S43))*B$25</f>
        <v>3594.01303125</v>
      </c>
      <c r="T44" s="10">
        <v>0</v>
      </c>
      <c r="U44" s="10">
        <f>PMT((B34/12),(B35*12),-(B7-(B7*B33)-B$50))*12</f>
        <v>14677.573930495255</v>
      </c>
      <c r="V44" s="10"/>
      <c r="W44" s="10">
        <v>0</v>
      </c>
      <c r="X44" s="10">
        <f t="shared" si="37"/>
        <v>1910.965932461309</v>
      </c>
      <c r="Y44" s="10">
        <f t="shared" si="38"/>
        <v>5962.0363372800002</v>
      </c>
      <c r="Z44" s="10">
        <f>(((B37*B38)-B52)*1.8)/7</f>
        <v>3912.18984</v>
      </c>
      <c r="AA44" s="10"/>
      <c r="AB44" s="10"/>
      <c r="AC44" s="10"/>
      <c r="AD44" s="10"/>
      <c r="AE44" s="10">
        <f>B7*B54</f>
        <v>3833.32</v>
      </c>
      <c r="AF44" s="10">
        <f t="shared" si="39"/>
        <v>30296.086040236565</v>
      </c>
      <c r="AG44" s="10">
        <f t="shared" si="40"/>
        <v>176299.29702082195</v>
      </c>
      <c r="AH44" s="10">
        <f>($B$7-SUM($AH$38:AH43))*B$26</f>
        <v>6941.0277126796873</v>
      </c>
      <c r="AI44" s="215">
        <f>($B$37-SUM($AI$39:AI43))*IF('TCO Dashboard'!C$20 = 'Charger database'!A$6,B$28,B$27)</f>
        <v>931.48914074579989</v>
      </c>
      <c r="AJ44">
        <f t="shared" si="33"/>
        <v>0.79031452573014571</v>
      </c>
      <c r="AK44" s="5">
        <f t="shared" si="30"/>
        <v>23038.917647954655</v>
      </c>
      <c r="AL44" s="5">
        <f t="shared" si="31"/>
        <v>23943.436870369249</v>
      </c>
      <c r="AM44" s="11">
        <f t="shared" si="32"/>
        <v>0</v>
      </c>
    </row>
    <row r="45" spans="1:39" ht="18">
      <c r="A45" s="199" t="s">
        <v>217</v>
      </c>
      <c r="B45" s="199">
        <v>9.2000000000000003E-4</v>
      </c>
      <c r="C45" s="199" t="s">
        <v>218</v>
      </c>
      <c r="D45" s="199"/>
      <c r="E45" s="199"/>
      <c r="H45" s="32">
        <v>7</v>
      </c>
      <c r="I45" s="9"/>
      <c r="J45" s="9">
        <f>PMT((B31/12),(B32*12),-(B6-(B6*B30)))*12</f>
        <v>9291.0537970357909</v>
      </c>
      <c r="K45" s="9">
        <f t="shared" si="34"/>
        <v>6980.0623566285958</v>
      </c>
      <c r="L45" s="9">
        <f>B20*B21*B40</f>
        <v>0</v>
      </c>
      <c r="M45" s="9">
        <f t="shared" si="35"/>
        <v>11824.705402272002</v>
      </c>
      <c r="N45" s="9"/>
      <c r="O45" s="9"/>
      <c r="P45" s="9">
        <f>B55*B6</f>
        <v>1620</v>
      </c>
      <c r="Q45" s="9">
        <f t="shared" si="29"/>
        <v>29715.821555936389</v>
      </c>
      <c r="R45" s="9">
        <f t="shared" si="36"/>
        <v>199546.061584323</v>
      </c>
      <c r="S45" s="9">
        <f>($B$6-SUM($S$38:S44))*B$25</f>
        <v>3054.9110765625005</v>
      </c>
      <c r="T45" s="10">
        <v>0</v>
      </c>
      <c r="U45" s="10">
        <f>PMT((B34/12),(B35*12),-(B7-(B7*B33)-B$50))*12</f>
        <v>14677.573930495255</v>
      </c>
      <c r="V45" s="10"/>
      <c r="W45" s="10">
        <v>0</v>
      </c>
      <c r="X45" s="10">
        <f t="shared" si="37"/>
        <v>1968.2949104351483</v>
      </c>
      <c r="Y45" s="10">
        <f t="shared" si="38"/>
        <v>6081.2770640256003</v>
      </c>
      <c r="Z45" s="10">
        <f>(((B37*B38)-B52)*1.8)/7</f>
        <v>3912.18984</v>
      </c>
      <c r="AA45" s="10"/>
      <c r="AB45" s="10"/>
      <c r="AC45" s="10"/>
      <c r="AD45" s="10"/>
      <c r="AE45" s="10">
        <f>B7*B54</f>
        <v>3833.32</v>
      </c>
      <c r="AF45" s="10">
        <f t="shared" si="39"/>
        <v>30472.655744955999</v>
      </c>
      <c r="AG45" s="10">
        <f t="shared" si="40"/>
        <v>206771.95276577794</v>
      </c>
      <c r="AH45" s="10">
        <f>($B$7-SUM($AH$38:AH44))*B$26</f>
        <v>5899.8735557777345</v>
      </c>
      <c r="AI45" s="215">
        <f>($B$37-SUM($AI$39:AI44))*IF('TCO Dashboard'!C$20 = 'Charger database'!A$6,B$28,B$27)</f>
        <v>652.0423985220599</v>
      </c>
      <c r="AJ45">
        <f t="shared" si="33"/>
        <v>0.75991781320206331</v>
      </c>
      <c r="AK45" s="5">
        <f t="shared" si="30"/>
        <v>22581.582134289914</v>
      </c>
      <c r="AL45" s="5">
        <f t="shared" si="31"/>
        <v>23156.713916166253</v>
      </c>
      <c r="AM45" s="11">
        <f t="shared" si="32"/>
        <v>0</v>
      </c>
    </row>
    <row r="46" spans="1:39" ht="18.600000000000001" thickBot="1">
      <c r="A46" s="199" t="s">
        <v>219</v>
      </c>
      <c r="B46" s="199">
        <v>1.01E-3</v>
      </c>
      <c r="C46" s="199" t="s">
        <v>218</v>
      </c>
      <c r="D46" s="199"/>
      <c r="E46" s="199"/>
      <c r="H46" s="32" t="s">
        <v>152</v>
      </c>
      <c r="I46" s="33"/>
      <c r="J46" s="33"/>
      <c r="K46" s="9"/>
      <c r="L46" s="9"/>
      <c r="M46" s="9"/>
      <c r="N46" s="9">
        <f>-(B6-SUM(S38:S45))</f>
        <v>-17311.162767187503</v>
      </c>
      <c r="O46" s="9"/>
      <c r="P46" s="9"/>
      <c r="Q46" s="9">
        <f t="shared" si="29"/>
        <v>-17311.162767187503</v>
      </c>
      <c r="R46" s="9">
        <f>R45+Q46</f>
        <v>182234.89881713549</v>
      </c>
      <c r="S46" s="9"/>
      <c r="T46" s="10">
        <v>0</v>
      </c>
      <c r="U46" s="10"/>
      <c r="V46" s="10"/>
      <c r="W46" s="10">
        <v>0</v>
      </c>
      <c r="X46" s="10">
        <v>0</v>
      </c>
      <c r="Y46" s="10">
        <v>0</v>
      </c>
      <c r="Z46" s="10">
        <v>0</v>
      </c>
      <c r="AA46" s="10"/>
      <c r="AB46" s="10"/>
      <c r="AC46" s="10">
        <f>-(B7-SUM(AH39:AH45))</f>
        <v>-33432.616816073831</v>
      </c>
      <c r="AD46" s="10">
        <f>-(B37-SUM(AI39:AI45))</f>
        <v>-1521.4322632181393</v>
      </c>
      <c r="AE46" s="10"/>
      <c r="AF46" s="10">
        <f t="shared" si="39"/>
        <v>-34954.049079291974</v>
      </c>
      <c r="AG46" s="10">
        <f>AG45+AF46</f>
        <v>171817.90368648595</v>
      </c>
      <c r="AH46" s="10"/>
      <c r="AI46" s="10"/>
      <c r="AJ46">
        <f>1/(1+$B$2)^11</f>
        <v>0.6495809315632679</v>
      </c>
      <c r="AK46" s="5">
        <f t="shared" si="30"/>
        <v>-11245.001236753016</v>
      </c>
      <c r="AL46" s="5">
        <f t="shared" si="31"/>
        <v>-22705.483762834669</v>
      </c>
      <c r="AM46" s="11">
        <f t="shared" si="32"/>
        <v>10416.995130649535</v>
      </c>
    </row>
    <row r="47" spans="1:39" ht="19.5" thickBot="1">
      <c r="A47" s="199" t="s">
        <v>220</v>
      </c>
      <c r="B47" s="199">
        <v>0.08</v>
      </c>
      <c r="C47" s="199" t="s">
        <v>103</v>
      </c>
      <c r="D47" s="199"/>
      <c r="E47" s="199"/>
      <c r="H47" s="34" t="s">
        <v>221</v>
      </c>
      <c r="I47" s="14">
        <f>SUM(I39:I46)</f>
        <v>2700</v>
      </c>
      <c r="J47" s="14">
        <f t="shared" ref="J47:N47" si="41">SUM(J38:J46)</f>
        <v>65037.376579250536</v>
      </c>
      <c r="K47" s="14">
        <f t="shared" si="41"/>
        <v>42408.709489200475</v>
      </c>
      <c r="L47" s="14">
        <f t="shared" si="41"/>
        <v>0</v>
      </c>
      <c r="M47" s="14">
        <f t="shared" si="41"/>
        <v>78059.975515872007</v>
      </c>
      <c r="N47" s="14">
        <f t="shared" si="41"/>
        <v>-17311.162767187503</v>
      </c>
      <c r="O47" s="14"/>
      <c r="P47" s="14">
        <f>SUM(P38:P46)</f>
        <v>11340</v>
      </c>
      <c r="Q47" s="14">
        <f>SUM(Q38:Q46)</f>
        <v>182234.89881713549</v>
      </c>
      <c r="R47" s="14"/>
      <c r="S47" s="14">
        <f t="shared" ref="S47:Z47" si="42">SUM(S38:S46)</f>
        <v>36688.837232812497</v>
      </c>
      <c r="T47" s="14">
        <f>SUM(T39:T46)</f>
        <v>4791.6500000000005</v>
      </c>
      <c r="U47" s="14">
        <f t="shared" si="42"/>
        <v>102743.0175134668</v>
      </c>
      <c r="V47" s="14">
        <f>SUM(V39:V46)</f>
        <v>-10000</v>
      </c>
      <c r="W47" s="14">
        <f t="shared" si="42"/>
        <v>-7757.3391512678236</v>
      </c>
      <c r="X47" s="14">
        <f t="shared" si="42"/>
        <v>12630.925258273419</v>
      </c>
      <c r="Y47" s="14">
        <f t="shared" si="42"/>
        <v>40145.130265305597</v>
      </c>
      <c r="Z47" s="14">
        <f t="shared" si="42"/>
        <v>27385.328879999997</v>
      </c>
      <c r="AA47" s="14">
        <f>SUM(AA39:AA46)</f>
        <v>0</v>
      </c>
      <c r="AB47" s="14"/>
      <c r="AC47" s="14">
        <f>SUM(AC38:AC46)</f>
        <v>-33432.616816073831</v>
      </c>
      <c r="AD47" s="14">
        <f>SUM(AD38:AD46)</f>
        <v>-1521.4322632181393</v>
      </c>
      <c r="AE47" s="14">
        <f>SUM(AE38:AE46)</f>
        <v>26833.24</v>
      </c>
      <c r="AF47" s="14">
        <f>SUM(AF38:AF46)</f>
        <v>171817.90368648595</v>
      </c>
      <c r="AG47" s="14"/>
      <c r="AH47" s="14">
        <f>SUM(AH38:AH46)</f>
        <v>62400.383183926169</v>
      </c>
      <c r="AI47" s="14">
        <f>SUM(AI38:AI46)</f>
        <v>13692.63933678186</v>
      </c>
      <c r="AJ47" s="14"/>
      <c r="AK47" s="77"/>
      <c r="AL47" s="78"/>
      <c r="AM47" s="11"/>
    </row>
    <row r="48" spans="1:39" ht="19.5" thickBot="1">
      <c r="A48" s="199" t="s">
        <v>222</v>
      </c>
      <c r="B48" s="199">
        <v>0.08</v>
      </c>
      <c r="C48" s="199" t="s">
        <v>103</v>
      </c>
      <c r="D48" s="199"/>
      <c r="E48" s="199"/>
      <c r="H48" s="34" t="s">
        <v>157</v>
      </c>
      <c r="I48" s="14" t="e">
        <f>SUMPRODUCT(I39:I46,$AJ38:$AJ46)</f>
        <v>#VALUE!</v>
      </c>
      <c r="J48" s="14">
        <f>SUMPRODUCT(J38:J46,$AJ38:$AJ46)</f>
        <v>55765.412831240617</v>
      </c>
      <c r="K48" s="14">
        <f>SUMPRODUCT(K38:K46,$AJ38:$AJ46)</f>
        <v>36085.740816640428</v>
      </c>
      <c r="L48" s="14">
        <f>SUMPRODUCT(L38:L46,$AJ38:$AJ46)</f>
        <v>0</v>
      </c>
      <c r="M48" s="14">
        <f>SUMPRODUCT(M38:M46,$AJ38:$AJ46)</f>
        <v>66723.982176288642</v>
      </c>
      <c r="N48" s="14">
        <f>SUMPRODUCT(N38:N46,$AJ38:$AJ46)</f>
        <v>-11245.001236753016</v>
      </c>
      <c r="O48" s="14"/>
      <c r="P48" s="14">
        <f>SUMPRODUCT(P38:P46,$AJ38:$AJ46)</f>
        <v>9723.3285653164312</v>
      </c>
      <c r="Q48" s="14">
        <f>SUMPRODUCT(Q38:Q46,$AJ38:$AJ46)</f>
        <v>159649.61699888692</v>
      </c>
      <c r="R48" s="14"/>
      <c r="S48" s="14">
        <f>SUMPRODUCT(S38:S46,$AJ38:$AJ46)</f>
        <v>32246.004509979386</v>
      </c>
      <c r="T48" s="14">
        <f>SUMPRODUCT(T38:T46,$AJ38:$AJ46)</f>
        <v>4607.3557692307695</v>
      </c>
      <c r="U48" s="14">
        <f>SUMPRODUCT(U38:U46,$AJ38:$AJ46)</f>
        <v>88095.601153042138</v>
      </c>
      <c r="V48" s="14">
        <f>SUMPRODUCT(V39:V46,$AJ39:$AJ46)</f>
        <v>-9615.3846153846152</v>
      </c>
      <c r="W48" s="14">
        <f>SUMPRODUCT(W38:W46,$AJ38:$AJ46)</f>
        <v>-6951.9198614395254</v>
      </c>
      <c r="X48" s="14">
        <f>SUMPRODUCT(X38:X46,$AJ38:$AJ46)</f>
        <v>10780.136500313216</v>
      </c>
      <c r="Y48" s="14">
        <f>SUMPRODUCT(Y38:Y46,$AJ38:$AJ46)</f>
        <v>34315.190833519875</v>
      </c>
      <c r="Z48" s="14">
        <f>SUMPRODUCT(Z38:Z46,$AJ38:$AJ46)</f>
        <v>23481.177298896739</v>
      </c>
      <c r="AA48" s="14" t="e">
        <f>SUMPRODUCT(AA39:AA46,$AJ38:$AJ46)</f>
        <v>#VALUE!</v>
      </c>
      <c r="AB48" s="14"/>
      <c r="AC48" s="14">
        <f>SUMPRODUCT(AC38:AC46,$AJ38:$AJ46)</f>
        <v>-21717.190375983013</v>
      </c>
      <c r="AD48" s="14"/>
      <c r="AE48" s="14">
        <f>SUMPRODUCT(AE38:AE46,$AJ38:$AJ46)</f>
        <v>23007.796207406649</v>
      </c>
      <c r="AF48" s="14">
        <f>SUMPRODUCT(AF38:AF46,$AJ38:$AJ46)</f>
        <v>154629.85413813518</v>
      </c>
      <c r="AG48" s="14"/>
      <c r="AH48" s="14">
        <f>SUMPRODUCT(AH38:AH46,$AJ38:$AJ46)</f>
        <v>54145.276288274472</v>
      </c>
      <c r="AI48" s="14">
        <f>SUMPRODUCT(AI38:AI46,$AJ38:$AJ46)</f>
        <v>12145.879254353122</v>
      </c>
      <c r="AJ48" s="14"/>
      <c r="AK48" s="15">
        <f>SUM(AK38:AK46)</f>
        <v>159649.61699888692</v>
      </c>
      <c r="AL48" s="16">
        <f>SUM(AL38:AL46)</f>
        <v>154629.85413813518</v>
      </c>
      <c r="AM48" s="11"/>
    </row>
    <row r="49" spans="1:38" ht="18">
      <c r="A49" s="196" t="s">
        <v>223</v>
      </c>
      <c r="B49" s="196" t="s">
        <v>97</v>
      </c>
      <c r="C49" s="196" t="s">
        <v>98</v>
      </c>
      <c r="D49" s="196" t="s">
        <v>99</v>
      </c>
      <c r="E49" s="196" t="s">
        <v>100</v>
      </c>
      <c r="AK49" s="11"/>
    </row>
    <row r="50" spans="1:38" ht="18">
      <c r="A50" s="199" t="s">
        <v>224</v>
      </c>
      <c r="B50" s="200" cm="1">
        <f t="array" ref="B50" xml:space="preserve"> IF('TCO Dashboard'!F32=TRUE,_xlfn.XLOOKUP('TCO Dashboard'!C19, EV_DB[Make &amp; Model],
 _xlfn.XLOOKUP('TCO Dashboard'!F19 &amp; " - Total rebate(s) value", EV_DB[#Headers], EV_DB[])+'TCO Dashboard'!E32),
_xlfn.XLOOKUP('TCO Dashboard'!C19, EV_DB[Make &amp; Model],
 _xlfn.XLOOKUP('TCO Dashboard'!F19 &amp; " - Total rebate(s) value", EV_DB[#Headers], EV_DB[])))</f>
        <v>10000</v>
      </c>
      <c r="C50" s="199" t="s">
        <v>140</v>
      </c>
      <c r="D50" s="213" t="s">
        <v>141</v>
      </c>
      <c r="E50" s="199" t="s">
        <v>105</v>
      </c>
    </row>
    <row r="51" spans="1:38" ht="18">
      <c r="A51" s="199" t="s">
        <v>225</v>
      </c>
      <c r="B51" s="200">
        <f>IF('TCO Dashboard'!D32=TRUE,'TCO Dashboard'!D32,0)</f>
        <v>0</v>
      </c>
      <c r="C51" s="199" t="s">
        <v>140</v>
      </c>
      <c r="D51" s="213" t="s">
        <v>226</v>
      </c>
      <c r="E51" s="199" t="s">
        <v>105</v>
      </c>
    </row>
    <row r="52" spans="1:38" ht="18">
      <c r="A52" s="199" t="s">
        <v>227</v>
      </c>
      <c r="B52" s="200" cm="1">
        <f t="array" ref="B52">IF('TCO Dashboard'!F33=TRUE,'TCO Dashboard'!E33,IF('TCO Dashboard'!F19="BC",_xlfn.XLOOKUP(1,('TCO Dashboard'!C20=chrgrincentive_DB[Charger type])*('TCO Dashboard'!F19=chrgrincentive_DB[Province]),chrgrincentive_DB[Plugin BC]),0))</f>
        <v>0</v>
      </c>
      <c r="C52" s="199" t="s">
        <v>140</v>
      </c>
      <c r="D52" s="213" t="s">
        <v>228</v>
      </c>
      <c r="E52" s="199" t="s">
        <v>105</v>
      </c>
      <c r="H52" s="29" t="s">
        <v>229</v>
      </c>
    </row>
    <row r="53" spans="1:38" ht="18">
      <c r="A53" s="196" t="s">
        <v>230</v>
      </c>
      <c r="B53" s="196" t="s">
        <v>97</v>
      </c>
      <c r="C53" s="196" t="s">
        <v>98</v>
      </c>
      <c r="D53" s="196" t="s">
        <v>99</v>
      </c>
      <c r="E53" s="196" t="s">
        <v>100</v>
      </c>
      <c r="H53" s="31" t="s">
        <v>107</v>
      </c>
      <c r="I53" s="7" t="s">
        <v>171</v>
      </c>
      <c r="J53" s="7" t="s">
        <v>172</v>
      </c>
      <c r="K53" s="7" t="s">
        <v>109</v>
      </c>
      <c r="L53" s="7" t="s">
        <v>110</v>
      </c>
      <c r="M53" s="7" t="s">
        <v>111</v>
      </c>
      <c r="N53" s="7" t="s">
        <v>112</v>
      </c>
      <c r="O53" s="7"/>
      <c r="P53" s="7" t="s">
        <v>113</v>
      </c>
      <c r="Q53" s="59" t="s">
        <v>114</v>
      </c>
      <c r="R53" s="59" t="s">
        <v>115</v>
      </c>
      <c r="S53" s="7" t="s">
        <v>116</v>
      </c>
      <c r="T53" s="8" t="s">
        <v>173</v>
      </c>
      <c r="U53" s="8" t="s">
        <v>174</v>
      </c>
      <c r="V53" s="8" t="s">
        <v>175</v>
      </c>
      <c r="W53" s="8" t="s">
        <v>119</v>
      </c>
      <c r="X53" s="8" t="s">
        <v>120</v>
      </c>
      <c r="Y53" s="8" t="s">
        <v>121</v>
      </c>
      <c r="Z53" s="8" t="s">
        <v>200</v>
      </c>
      <c r="AA53" s="8" t="s">
        <v>201</v>
      </c>
      <c r="AB53" s="8" t="s">
        <v>123</v>
      </c>
      <c r="AC53" s="8" t="s">
        <v>124</v>
      </c>
      <c r="AD53" s="8"/>
      <c r="AE53" s="8" t="s">
        <v>126</v>
      </c>
      <c r="AF53" s="60" t="s">
        <v>127</v>
      </c>
      <c r="AG53" s="60" t="s">
        <v>128</v>
      </c>
      <c r="AH53" s="8" t="s">
        <v>129</v>
      </c>
      <c r="AI53" s="6" t="s">
        <v>131</v>
      </c>
      <c r="AJ53" s="6" t="s">
        <v>133</v>
      </c>
      <c r="AK53" s="6" t="s">
        <v>134</v>
      </c>
      <c r="AL53" s="6" t="s">
        <v>132</v>
      </c>
    </row>
    <row r="54" spans="1:38" ht="18">
      <c r="A54" s="199" t="s">
        <v>231</v>
      </c>
      <c r="B54" s="214">
        <v>0.04</v>
      </c>
      <c r="C54" s="199"/>
      <c r="D54" s="199"/>
      <c r="E54" s="199"/>
      <c r="H54" s="32">
        <v>0</v>
      </c>
      <c r="I54" s="9"/>
      <c r="J54" s="9"/>
      <c r="K54" s="9">
        <v>0</v>
      </c>
      <c r="L54" s="9"/>
      <c r="M54" s="9">
        <v>0</v>
      </c>
      <c r="N54" s="9"/>
      <c r="O54" s="9"/>
      <c r="P54" s="9"/>
      <c r="Q54" s="9">
        <f t="shared" ref="Q54" si="43">SUM(I54:P54)</f>
        <v>0</v>
      </c>
      <c r="R54" s="9">
        <f>Q54</f>
        <v>0</v>
      </c>
      <c r="S54" s="9">
        <v>0</v>
      </c>
      <c r="T54" s="10"/>
      <c r="U54" s="10"/>
      <c r="V54" s="10"/>
      <c r="W54" s="10"/>
      <c r="X54" s="10">
        <v>0</v>
      </c>
      <c r="Y54" s="10">
        <v>0</v>
      </c>
      <c r="Z54" s="10"/>
      <c r="AA54" s="10"/>
      <c r="AB54" s="10"/>
      <c r="AC54" s="10"/>
      <c r="AD54" s="10"/>
      <c r="AE54" s="10"/>
      <c r="AF54" s="10">
        <f>SUM(T54:AE54)</f>
        <v>0</v>
      </c>
      <c r="AG54" s="10">
        <f>AF54</f>
        <v>0</v>
      </c>
      <c r="AH54" s="10">
        <v>0</v>
      </c>
      <c r="AI54">
        <f>1</f>
        <v>1</v>
      </c>
      <c r="AJ54" s="5">
        <f t="shared" ref="AJ54:AJ62" si="44">AI54*Q54</f>
        <v>0</v>
      </c>
      <c r="AK54" s="5">
        <f t="shared" ref="AK54:AK62" si="45">AI54*AF54</f>
        <v>0</v>
      </c>
      <c r="AL54" s="11">
        <f t="shared" ref="AL54:AL62" si="46">MAX(R54-AG54,0)</f>
        <v>0</v>
      </c>
    </row>
    <row r="55" spans="1:38" ht="18">
      <c r="A55" s="199" t="s">
        <v>232</v>
      </c>
      <c r="B55" s="214">
        <v>0.03</v>
      </c>
      <c r="C55" s="199"/>
      <c r="D55" s="199"/>
      <c r="E55" s="199"/>
      <c r="H55" s="32">
        <v>1</v>
      </c>
      <c r="I55" s="9">
        <f>B30*B6</f>
        <v>2700</v>
      </c>
      <c r="J55" s="9">
        <f>PMT((B46/12),(B47*12),-(B22-(B22*B45)))*12</f>
        <v>124.89530092530364</v>
      </c>
      <c r="K55" s="9">
        <f>(B$20*B$21)*B$9</f>
        <v>5208.63</v>
      </c>
      <c r="L55" s="9" t="e">
        <f>B38*#REF!*B56</f>
        <v>#REF!</v>
      </c>
      <c r="M55" s="9" t="e">
        <f>B32*#REF!</f>
        <v>#REF!</v>
      </c>
      <c r="N55" s="9"/>
      <c r="O55" s="9"/>
      <c r="P55" s="9" t="e">
        <f>#REF!*B22</f>
        <v>#REF!</v>
      </c>
      <c r="Q55" s="9" t="e">
        <f>SUM(I55:P55)</f>
        <v>#REF!</v>
      </c>
      <c r="R55" s="9" t="e">
        <f>R54+Q55</f>
        <v>#REF!</v>
      </c>
      <c r="S55" s="9">
        <f>($B$6-SUM($S$38:S54))*B$25</f>
        <v>-7743.5518463406579</v>
      </c>
      <c r="T55" s="10">
        <f>B48*B23</f>
        <v>20.8</v>
      </c>
      <c r="U55" s="10" t="e">
        <f>PMT((B49/12),(B50*12),-(B23-(B23*B48)-B$50))*12</f>
        <v>#VALUE!</v>
      </c>
      <c r="V55" s="10" t="e">
        <f>-B66</f>
        <v>#VALUE!</v>
      </c>
      <c r="W55" s="10" t="e">
        <f>-B57-B59</f>
        <v>#VALUE!</v>
      </c>
      <c r="X55" s="10">
        <f>(B$19*B$10)*B$21</f>
        <v>1648.4159999999999</v>
      </c>
      <c r="Y55" s="10">
        <f>B$15*B$21</f>
        <v>5400</v>
      </c>
      <c r="Z55" s="10" t="e">
        <f>(((B52*B53)-B68)*1.8)/7</f>
        <v>#VALUE!</v>
      </c>
      <c r="AA55" s="10" t="e">
        <f>-B68</f>
        <v>#VALUE!</v>
      </c>
      <c r="AB55" s="10" t="e">
        <f>(B52*B53)*B35</f>
        <v>#VALUE!</v>
      </c>
      <c r="AC55" s="10"/>
      <c r="AD55" s="10"/>
      <c r="AE55" s="10" t="e">
        <f>B23*#REF!</f>
        <v>#REF!</v>
      </c>
      <c r="AF55" s="10" t="e">
        <f>SUM(T55:AE55)-V55-AA55</f>
        <v>#VALUE!</v>
      </c>
      <c r="AG55" s="10" t="e">
        <f>AG54+AF55</f>
        <v>#VALUE!</v>
      </c>
      <c r="AH55" s="10">
        <f>($B$7-SUM($AH$38:AH54))*B$26*0.5</f>
        <v>-6233.4781992095104</v>
      </c>
      <c r="AI55">
        <f t="shared" ref="AI55:AI61" si="47">1/(1+$B$2)^H55</f>
        <v>0.96153846153846145</v>
      </c>
      <c r="AJ55" s="5" t="e">
        <f t="shared" si="44"/>
        <v>#REF!</v>
      </c>
      <c r="AK55" s="5" t="e">
        <f t="shared" si="45"/>
        <v>#VALUE!</v>
      </c>
      <c r="AL55" s="11" t="e">
        <f t="shared" si="46"/>
        <v>#REF!</v>
      </c>
    </row>
    <row r="56" spans="1:38">
      <c r="A56"/>
      <c r="B56"/>
      <c r="C56"/>
      <c r="D56"/>
      <c r="E56"/>
      <c r="H56" s="32">
        <v>2</v>
      </c>
      <c r="I56" s="9"/>
      <c r="J56" s="9">
        <f>PMT((B46/12),(B47*12),-(B22-(B22*B45)))*12</f>
        <v>124.89530092530364</v>
      </c>
      <c r="K56" s="9">
        <f t="shared" ref="K56:K61" si="48">K55*(1+B$11)</f>
        <v>5469.0615000000007</v>
      </c>
      <c r="L56" s="9" t="e">
        <f>B38*#REF!*B56</f>
        <v>#REF!</v>
      </c>
      <c r="M56" s="9" t="e">
        <f t="shared" ref="M56:M61" si="49">M55*(1+B$16)</f>
        <v>#REF!</v>
      </c>
      <c r="N56" s="9"/>
      <c r="O56" s="9"/>
      <c r="P56" s="9" t="e">
        <f>#REF!*B22</f>
        <v>#REF!</v>
      </c>
      <c r="Q56" s="9" t="e">
        <f t="shared" ref="Q56:Q62" si="50">SUM(I56:P56)</f>
        <v>#REF!</v>
      </c>
      <c r="R56" s="9" t="e">
        <f t="shared" ref="R56:R61" si="51">R55+Q56</f>
        <v>#REF!</v>
      </c>
      <c r="S56" s="9">
        <f>($B$6-SUM($S$38:S55))*B$25</f>
        <v>-6582.0190693895584</v>
      </c>
      <c r="T56" s="10">
        <v>0</v>
      </c>
      <c r="U56" s="10" t="e">
        <f>PMT((B49/12),(B50*12),-(B23-(B23*B48)-B$50))*12</f>
        <v>#VALUE!</v>
      </c>
      <c r="V56" s="10"/>
      <c r="W56" s="10" t="e">
        <f>W55-(W55*B$48)</f>
        <v>#VALUE!</v>
      </c>
      <c r="X56" s="10">
        <f t="shared" ref="X56:X61" si="52">X55*(1+B$12)</f>
        <v>1697.8684800000001</v>
      </c>
      <c r="Y56" s="10">
        <f t="shared" ref="Y56:Y61" si="53">Y55*(1+B$16)</f>
        <v>5508</v>
      </c>
      <c r="Z56" s="10" t="e">
        <f>(((B52*B53)-B68)*1.8)/7</f>
        <v>#VALUE!</v>
      </c>
      <c r="AA56" s="10"/>
      <c r="AB56" s="10" t="e">
        <f t="shared" ref="AB56:AB61" si="54">AB55+(1.02)</f>
        <v>#VALUE!</v>
      </c>
      <c r="AC56" s="10"/>
      <c r="AD56" s="10"/>
      <c r="AE56" s="10" t="e">
        <f>B23*#REF!</f>
        <v>#REF!</v>
      </c>
      <c r="AF56" s="10" t="e">
        <f t="shared" ref="AF56:AF62" si="55">SUM(T56:AE56)</f>
        <v>#VALUE!</v>
      </c>
      <c r="AG56" s="10" t="e">
        <f t="shared" ref="AG56:AG61" si="56">AG55+AF56</f>
        <v>#VALUE!</v>
      </c>
      <c r="AH56" s="10">
        <f>($B$7-SUM($AH$38:AH55))*B$26</f>
        <v>-11531.934668537593</v>
      </c>
      <c r="AI56">
        <f t="shared" si="47"/>
        <v>0.92455621301775137</v>
      </c>
      <c r="AJ56" s="5" t="e">
        <f t="shared" si="44"/>
        <v>#REF!</v>
      </c>
      <c r="AK56" s="5" t="e">
        <f t="shared" si="45"/>
        <v>#VALUE!</v>
      </c>
      <c r="AL56" s="11" t="e">
        <f t="shared" si="46"/>
        <v>#REF!</v>
      </c>
    </row>
    <row r="57" spans="1:38">
      <c r="A57" s="26" t="s">
        <v>233</v>
      </c>
      <c r="B57" s="26"/>
      <c r="C57" s="26"/>
      <c r="D57"/>
      <c r="E57"/>
      <c r="H57" s="32">
        <v>3</v>
      </c>
      <c r="I57" s="9"/>
      <c r="J57" s="9">
        <f>PMT((B46/12),(B47*12),-(B22-(B22*B45)))*12</f>
        <v>124.89530092530364</v>
      </c>
      <c r="K57" s="9">
        <f t="shared" si="48"/>
        <v>5742.5145750000011</v>
      </c>
      <c r="L57" s="9" t="e">
        <f>B38*#REF!*B56</f>
        <v>#REF!</v>
      </c>
      <c r="M57" s="9" t="e">
        <f t="shared" si="49"/>
        <v>#REF!</v>
      </c>
      <c r="N57" s="9"/>
      <c r="O57" s="9"/>
      <c r="P57" s="9" t="e">
        <f>#REF!*B22</f>
        <v>#REF!</v>
      </c>
      <c r="Q57" s="9" t="e">
        <f t="shared" si="50"/>
        <v>#REF!</v>
      </c>
      <c r="R57" s="9" t="e">
        <f t="shared" si="51"/>
        <v>#REF!</v>
      </c>
      <c r="S57" s="9">
        <f>($B$6-SUM($S$38:S56))*B$25</f>
        <v>-5594.7162089811254</v>
      </c>
      <c r="T57" s="10">
        <v>0</v>
      </c>
      <c r="U57" s="10" t="e">
        <f>PMT((B49/12),(B50*12),-(B23-(B23*B48)-B$50))*12</f>
        <v>#VALUE!</v>
      </c>
      <c r="V57" s="10"/>
      <c r="W57" s="10" t="e">
        <f>W56-(W56*B$48)</f>
        <v>#VALUE!</v>
      </c>
      <c r="X57" s="10">
        <f t="shared" si="52"/>
        <v>1748.8045344000002</v>
      </c>
      <c r="Y57" s="10">
        <f t="shared" si="53"/>
        <v>5618.16</v>
      </c>
      <c r="Z57" s="10" t="e">
        <f>(((B52*B53)-B68)*1.8)/7</f>
        <v>#VALUE!</v>
      </c>
      <c r="AA57" s="10"/>
      <c r="AB57" s="10" t="e">
        <f t="shared" si="54"/>
        <v>#VALUE!</v>
      </c>
      <c r="AC57" s="10"/>
      <c r="AD57" s="10"/>
      <c r="AE57" s="10" t="e">
        <f>B23*#REF!</f>
        <v>#REF!</v>
      </c>
      <c r="AF57" s="10" t="e">
        <f t="shared" si="55"/>
        <v>#VALUE!</v>
      </c>
      <c r="AG57" s="10" t="e">
        <f t="shared" si="56"/>
        <v>#VALUE!</v>
      </c>
      <c r="AH57" s="10">
        <f>($B$7-SUM($AH$38:AH56))*B$26</f>
        <v>-9802.1444682569563</v>
      </c>
      <c r="AI57">
        <f t="shared" si="47"/>
        <v>0.88899635867091487</v>
      </c>
      <c r="AJ57" s="5" t="e">
        <f t="shared" si="44"/>
        <v>#REF!</v>
      </c>
      <c r="AK57" s="5" t="e">
        <f t="shared" si="45"/>
        <v>#VALUE!</v>
      </c>
      <c r="AL57" s="11" t="e">
        <f t="shared" si="46"/>
        <v>#REF!</v>
      </c>
    </row>
    <row r="58" spans="1:38">
      <c r="A58" t="s">
        <v>234</v>
      </c>
      <c r="B58" t="s">
        <v>235</v>
      </c>
      <c r="C58"/>
      <c r="D58"/>
      <c r="E58"/>
      <c r="H58" s="32">
        <v>4</v>
      </c>
      <c r="I58" s="9"/>
      <c r="J58" s="9">
        <f>PMT((B46/12),(B47*12),-(B22-(B22*B45)))*12</f>
        <v>124.89530092530364</v>
      </c>
      <c r="K58" s="9">
        <f t="shared" si="48"/>
        <v>6029.6403037500013</v>
      </c>
      <c r="L58" s="9" t="e">
        <f>B38*#REF!*B56</f>
        <v>#REF!</v>
      </c>
      <c r="M58" s="9" t="e">
        <f t="shared" si="49"/>
        <v>#REF!</v>
      </c>
      <c r="N58" s="9"/>
      <c r="O58" s="9"/>
      <c r="P58" s="9" t="e">
        <f>#REF!*B22</f>
        <v>#REF!</v>
      </c>
      <c r="Q58" s="9" t="e">
        <f t="shared" si="50"/>
        <v>#REF!</v>
      </c>
      <c r="R58" s="9" t="e">
        <f t="shared" si="51"/>
        <v>#REF!</v>
      </c>
      <c r="S58" s="9">
        <f>($B$6-SUM($S$38:S57))*B$25</f>
        <v>-4755.5087776339551</v>
      </c>
      <c r="T58" s="10">
        <v>0</v>
      </c>
      <c r="U58" s="10" t="e">
        <f>PMT((B49/12),(B50*12),-(B23-(B23*B48)-B$50))*12</f>
        <v>#VALUE!</v>
      </c>
      <c r="V58" s="10"/>
      <c r="W58" s="10" t="e">
        <f>W57-(W57*B$48)</f>
        <v>#VALUE!</v>
      </c>
      <c r="X58" s="10">
        <f t="shared" si="52"/>
        <v>1801.2686704320001</v>
      </c>
      <c r="Y58" s="10">
        <f t="shared" si="53"/>
        <v>5730.5231999999996</v>
      </c>
      <c r="Z58" s="10" t="e">
        <f>(((B52*B53)-B68)*1.8)/7</f>
        <v>#VALUE!</v>
      </c>
      <c r="AA58" s="10"/>
      <c r="AB58" s="10" t="e">
        <f t="shared" si="54"/>
        <v>#VALUE!</v>
      </c>
      <c r="AC58" s="10"/>
      <c r="AD58" s="10"/>
      <c r="AE58" s="10" t="e">
        <f>B23*#REF!</f>
        <v>#REF!</v>
      </c>
      <c r="AF58" s="10" t="e">
        <f t="shared" si="55"/>
        <v>#VALUE!</v>
      </c>
      <c r="AG58" s="10" t="e">
        <f t="shared" si="56"/>
        <v>#VALUE!</v>
      </c>
      <c r="AH58" s="10">
        <f>($B$7-SUM($AH$38:AH57))*B$26</f>
        <v>-8331.822798018411</v>
      </c>
      <c r="AI58">
        <f t="shared" si="47"/>
        <v>0.85480419102972571</v>
      </c>
      <c r="AJ58" s="5" t="e">
        <f t="shared" si="44"/>
        <v>#REF!</v>
      </c>
      <c r="AK58" s="5" t="e">
        <f t="shared" si="45"/>
        <v>#VALUE!</v>
      </c>
      <c r="AL58" s="11" t="e">
        <f t="shared" si="46"/>
        <v>#REF!</v>
      </c>
    </row>
    <row r="59" spans="1:38">
      <c r="A59"/>
      <c r="B59" t="s">
        <v>236</v>
      </c>
      <c r="C59"/>
      <c r="D59"/>
      <c r="E59"/>
      <c r="H59" s="32">
        <v>5</v>
      </c>
      <c r="I59" s="9"/>
      <c r="J59" s="9">
        <f>PMT((B46/12),(B47*12),-(B22-(B22*B45)))*12</f>
        <v>124.89530092530364</v>
      </c>
      <c r="K59" s="9">
        <f t="shared" si="48"/>
        <v>6331.1223189375014</v>
      </c>
      <c r="L59" s="9" t="e">
        <f>B38*#REF!*B56</f>
        <v>#REF!</v>
      </c>
      <c r="M59" s="9" t="e">
        <f t="shared" si="49"/>
        <v>#REF!</v>
      </c>
      <c r="N59" s="9"/>
      <c r="O59" s="9"/>
      <c r="P59" s="9" t="e">
        <f>#REF!*B22</f>
        <v>#REF!</v>
      </c>
      <c r="Q59" s="9" t="e">
        <f t="shared" si="50"/>
        <v>#REF!</v>
      </c>
      <c r="R59" s="9" t="e">
        <f t="shared" si="51"/>
        <v>#REF!</v>
      </c>
      <c r="S59" s="9">
        <f>($B$6-SUM($S$38:S58))*B$25</f>
        <v>-4042.1824609888627</v>
      </c>
      <c r="T59" s="10">
        <v>0</v>
      </c>
      <c r="U59" s="10" t="e">
        <f>PMT((B49/12),(B50*12),-(B23-(B23*B48)-B$50))*12</f>
        <v>#VALUE!</v>
      </c>
      <c r="V59" s="10"/>
      <c r="W59" s="10" t="e">
        <f>W58-(W58*B$48)</f>
        <v>#VALUE!</v>
      </c>
      <c r="X59" s="10">
        <f t="shared" si="52"/>
        <v>1855.3067305449601</v>
      </c>
      <c r="Y59" s="10">
        <f t="shared" si="53"/>
        <v>5845.133664</v>
      </c>
      <c r="Z59" s="10" t="e">
        <f>(((B52*B53)-B68)*1.8)/7</f>
        <v>#VALUE!</v>
      </c>
      <c r="AA59" s="10"/>
      <c r="AB59" s="10" t="e">
        <f t="shared" si="54"/>
        <v>#VALUE!</v>
      </c>
      <c r="AC59" s="10"/>
      <c r="AD59" s="10"/>
      <c r="AE59" s="10" t="e">
        <f>B23*#REF!</f>
        <v>#REF!</v>
      </c>
      <c r="AF59" s="10" t="e">
        <f t="shared" si="55"/>
        <v>#VALUE!</v>
      </c>
      <c r="AG59" s="10" t="e">
        <f t="shared" si="56"/>
        <v>#VALUE!</v>
      </c>
      <c r="AH59" s="10">
        <f>($B$7-SUM($AH$38:AH58))*B$26</f>
        <v>-7082.0493783156498</v>
      </c>
      <c r="AI59">
        <f t="shared" si="47"/>
        <v>0.82192710675935154</v>
      </c>
      <c r="AJ59" s="5" t="e">
        <f t="shared" si="44"/>
        <v>#REF!</v>
      </c>
      <c r="AK59" s="5" t="e">
        <f t="shared" si="45"/>
        <v>#VALUE!</v>
      </c>
      <c r="AL59" s="11" t="e">
        <f t="shared" si="46"/>
        <v>#REF!</v>
      </c>
    </row>
    <row r="60" spans="1:38">
      <c r="A60" t="s">
        <v>237</v>
      </c>
      <c r="B60" t="s">
        <v>238</v>
      </c>
      <c r="C60"/>
      <c r="H60" s="32">
        <v>6</v>
      </c>
      <c r="I60" s="9"/>
      <c r="J60" s="9">
        <f>PMT((B46/12),(B47*12),-(B22-(B22*B45)))*12</f>
        <v>124.89530092530364</v>
      </c>
      <c r="K60" s="9">
        <f t="shared" si="48"/>
        <v>6647.6784348843767</v>
      </c>
      <c r="L60" s="9" t="e">
        <f>B38*#REF!*B56</f>
        <v>#REF!</v>
      </c>
      <c r="M60" s="9" t="e">
        <f t="shared" si="49"/>
        <v>#REF!</v>
      </c>
      <c r="N60" s="9"/>
      <c r="O60" s="9"/>
      <c r="P60" s="9" t="e">
        <f>#REF!*B22</f>
        <v>#REF!</v>
      </c>
      <c r="Q60" s="9" t="e">
        <f t="shared" si="50"/>
        <v>#REF!</v>
      </c>
      <c r="R60" s="9" t="e">
        <f t="shared" si="51"/>
        <v>#REF!</v>
      </c>
      <c r="S60" s="9">
        <f>($B$6-SUM($S$38:S59))*B$25</f>
        <v>-3435.8550918405344</v>
      </c>
      <c r="T60" s="10">
        <v>0</v>
      </c>
      <c r="U60" s="10" t="e">
        <f>PMT((B49/12),(B50*12),-(B23-(B23*B48)-B$50))*12</f>
        <v>#VALUE!</v>
      </c>
      <c r="V60" s="10"/>
      <c r="W60" s="10">
        <v>0</v>
      </c>
      <c r="X60" s="10">
        <f t="shared" si="52"/>
        <v>1910.965932461309</v>
      </c>
      <c r="Y60" s="10">
        <f t="shared" si="53"/>
        <v>5962.0363372800002</v>
      </c>
      <c r="Z60" s="10" t="e">
        <f>(((B52*B53)-B68)*1.8)/7</f>
        <v>#VALUE!</v>
      </c>
      <c r="AA60" s="10"/>
      <c r="AB60" s="10" t="e">
        <f t="shared" si="54"/>
        <v>#VALUE!</v>
      </c>
      <c r="AC60" s="10"/>
      <c r="AD60" s="10"/>
      <c r="AE60" s="10" t="e">
        <f>B23*#REF!</f>
        <v>#REF!</v>
      </c>
      <c r="AF60" s="10" t="e">
        <f t="shared" si="55"/>
        <v>#VALUE!</v>
      </c>
      <c r="AG60" s="10" t="e">
        <f t="shared" si="56"/>
        <v>#VALUE!</v>
      </c>
      <c r="AH60" s="10">
        <f>($B$7-SUM($AH$38:AH59))*B$26</f>
        <v>-6019.7419715683018</v>
      </c>
      <c r="AI60">
        <f t="shared" si="47"/>
        <v>0.79031452573014571</v>
      </c>
      <c r="AJ60" s="5" t="e">
        <f t="shared" si="44"/>
        <v>#REF!</v>
      </c>
      <c r="AK60" s="5" t="e">
        <f t="shared" si="45"/>
        <v>#VALUE!</v>
      </c>
      <c r="AL60" s="11" t="e">
        <f t="shared" si="46"/>
        <v>#REF!</v>
      </c>
    </row>
    <row r="61" spans="1:38">
      <c r="A61"/>
      <c r="B61" t="s">
        <v>239</v>
      </c>
      <c r="C61"/>
      <c r="H61" s="32">
        <v>7</v>
      </c>
      <c r="I61" s="9"/>
      <c r="J61" s="9">
        <f>PMT((B46/12),(B47*12),-(B22-(B22*B45)))*12</f>
        <v>124.89530092530364</v>
      </c>
      <c r="K61" s="9">
        <f t="shared" si="48"/>
        <v>6980.0623566285958</v>
      </c>
      <c r="L61" s="9" t="e">
        <f>B38*#REF!*B56</f>
        <v>#REF!</v>
      </c>
      <c r="M61" s="9" t="e">
        <f t="shared" si="49"/>
        <v>#REF!</v>
      </c>
      <c r="N61" s="9"/>
      <c r="O61" s="9"/>
      <c r="P61" s="9" t="e">
        <f>#REF!*B22</f>
        <v>#REF!</v>
      </c>
      <c r="Q61" s="9" t="e">
        <f t="shared" si="50"/>
        <v>#REF!</v>
      </c>
      <c r="R61" s="9" t="e">
        <f t="shared" si="51"/>
        <v>#REF!</v>
      </c>
      <c r="S61" s="9">
        <f>($B$6-SUM($S$38:S60))*B$25</f>
        <v>-2920.4768280644535</v>
      </c>
      <c r="T61" s="10">
        <v>0</v>
      </c>
      <c r="U61" s="10" t="e">
        <f>PMT((B49/12),(B50*12),-(B23-(B23*B48)-B$50))*12</f>
        <v>#VALUE!</v>
      </c>
      <c r="V61" s="10"/>
      <c r="W61" s="10">
        <v>0</v>
      </c>
      <c r="X61" s="10">
        <f t="shared" si="52"/>
        <v>1968.2949104351483</v>
      </c>
      <c r="Y61" s="10">
        <f t="shared" si="53"/>
        <v>6081.2770640256003</v>
      </c>
      <c r="Z61" s="10" t="e">
        <f>(((B52*B53)-B68)*1.8)/7</f>
        <v>#VALUE!</v>
      </c>
      <c r="AA61" s="10"/>
      <c r="AB61" s="10" t="e">
        <f t="shared" si="54"/>
        <v>#VALUE!</v>
      </c>
      <c r="AC61" s="10"/>
      <c r="AD61" s="10"/>
      <c r="AE61" s="10" t="e">
        <f>B23*#REF!</f>
        <v>#REF!</v>
      </c>
      <c r="AF61" s="10" t="e">
        <f t="shared" si="55"/>
        <v>#VALUE!</v>
      </c>
      <c r="AG61" s="10" t="e">
        <f t="shared" si="56"/>
        <v>#VALUE!</v>
      </c>
      <c r="AH61" s="10">
        <f>($B$7-SUM($AH$38:AH60))*B$26</f>
        <v>-5116.7806758330562</v>
      </c>
      <c r="AI61">
        <f t="shared" si="47"/>
        <v>0.75991781320206331</v>
      </c>
      <c r="AJ61" s="5" t="e">
        <f t="shared" si="44"/>
        <v>#REF!</v>
      </c>
      <c r="AK61" s="5" t="e">
        <f t="shared" si="45"/>
        <v>#VALUE!</v>
      </c>
      <c r="AL61" s="11" t="e">
        <f t="shared" si="46"/>
        <v>#REF!</v>
      </c>
    </row>
    <row r="62" spans="1:38" ht="18" thickBot="1">
      <c r="A62"/>
      <c r="B62" t="s">
        <v>240</v>
      </c>
      <c r="C62"/>
      <c r="H62" s="32" t="s">
        <v>152</v>
      </c>
      <c r="I62" s="33"/>
      <c r="J62" s="33"/>
      <c r="K62" s="9"/>
      <c r="L62" s="9"/>
      <c r="M62" s="9"/>
      <c r="N62" s="9">
        <f>-(B22-SUM(S54:S61))</f>
        <v>-35084.310283239145</v>
      </c>
      <c r="O62" s="9"/>
      <c r="P62" s="9"/>
      <c r="Q62" s="9">
        <f t="shared" si="50"/>
        <v>-35084.310283239145</v>
      </c>
      <c r="R62" s="9" t="e">
        <f>R61+Q62</f>
        <v>#REF!</v>
      </c>
      <c r="S62" s="9"/>
      <c r="T62" s="10">
        <v>0</v>
      </c>
      <c r="U62" s="10"/>
      <c r="V62" s="10"/>
      <c r="W62" s="10">
        <v>0</v>
      </c>
      <c r="X62" s="10">
        <v>0</v>
      </c>
      <c r="Y62" s="10">
        <v>0</v>
      </c>
      <c r="Z62" s="10">
        <v>0</v>
      </c>
      <c r="AA62" s="10"/>
      <c r="AB62" s="10">
        <v>0</v>
      </c>
      <c r="AC62" s="10">
        <f>-(B23-SUM(AH55:AH61))</f>
        <v>-54377.952159739471</v>
      </c>
      <c r="AD62" s="10"/>
      <c r="AE62" s="10"/>
      <c r="AF62" s="10">
        <f t="shared" si="55"/>
        <v>-54377.952159739471</v>
      </c>
      <c r="AG62" s="10" t="e">
        <f>AG61+AF62</f>
        <v>#VALUE!</v>
      </c>
      <c r="AH62" s="10"/>
      <c r="AI62">
        <f>1/(1+$B$2)^11</f>
        <v>0.6495809315632679</v>
      </c>
      <c r="AJ62" s="5">
        <f t="shared" si="44"/>
        <v>-22790.098957041224</v>
      </c>
      <c r="AK62" s="5">
        <f t="shared" si="45"/>
        <v>-35322.880820426384</v>
      </c>
      <c r="AL62" s="11" t="e">
        <f t="shared" si="46"/>
        <v>#REF!</v>
      </c>
    </row>
    <row r="63" spans="1:38" ht="18.95" thickBot="1">
      <c r="A63"/>
      <c r="B63" t="s">
        <v>241</v>
      </c>
      <c r="C63"/>
      <c r="H63" s="34" t="s">
        <v>221</v>
      </c>
      <c r="I63" s="14">
        <f>SUM(I55:I62)</f>
        <v>2700</v>
      </c>
      <c r="J63" s="14">
        <f t="shared" ref="J63:N63" si="57">SUM(J54:J62)</f>
        <v>874.26710647712559</v>
      </c>
      <c r="K63" s="14">
        <f t="shared" si="57"/>
        <v>42408.709489200475</v>
      </c>
      <c r="L63" s="14" t="e">
        <f t="shared" si="57"/>
        <v>#REF!</v>
      </c>
      <c r="M63" s="14" t="e">
        <f t="shared" si="57"/>
        <v>#REF!</v>
      </c>
      <c r="N63" s="14">
        <f t="shared" si="57"/>
        <v>-35084.310283239145</v>
      </c>
      <c r="O63" s="14"/>
      <c r="P63" s="14" t="e">
        <f>SUM(P54:P62)</f>
        <v>#REF!</v>
      </c>
      <c r="Q63" s="14" t="e">
        <f>SUM(Q54:Q62)</f>
        <v>#REF!</v>
      </c>
      <c r="R63" s="14"/>
      <c r="S63" s="14">
        <f t="shared" ref="S63" si="58">SUM(S54:S62)</f>
        <v>-35074.310283239145</v>
      </c>
      <c r="T63" s="14">
        <f>SUM(T55:T62)</f>
        <v>20.8</v>
      </c>
      <c r="U63" s="14" t="e">
        <f t="shared" ref="U63" si="59">SUM(U54:U62)</f>
        <v>#VALUE!</v>
      </c>
      <c r="V63" s="14" t="e">
        <f>SUM(V55:V62)</f>
        <v>#VALUE!</v>
      </c>
      <c r="W63" s="14" t="e">
        <f t="shared" ref="W63:Z63" si="60">SUM(W54:W62)</f>
        <v>#VALUE!</v>
      </c>
      <c r="X63" s="14">
        <f t="shared" si="60"/>
        <v>12630.925258273419</v>
      </c>
      <c r="Y63" s="14">
        <f t="shared" si="60"/>
        <v>40145.130265305597</v>
      </c>
      <c r="Z63" s="14" t="e">
        <f t="shared" si="60"/>
        <v>#VALUE!</v>
      </c>
      <c r="AA63" s="14" t="e">
        <f>SUM(AA55:AA62)</f>
        <v>#VALUE!</v>
      </c>
      <c r="AB63" s="14" t="e">
        <f>SUM(AB54:AB62)</f>
        <v>#VALUE!</v>
      </c>
      <c r="AC63" s="14">
        <f>SUM(AC54:AC62)</f>
        <v>-54377.952159739471</v>
      </c>
      <c r="AD63" s="14"/>
      <c r="AE63" s="14" t="e">
        <f>SUM(AE54:AE62)</f>
        <v>#REF!</v>
      </c>
      <c r="AF63" s="14" t="e">
        <f>SUM(AF54:AF62)</f>
        <v>#VALUE!</v>
      </c>
      <c r="AG63" s="14"/>
      <c r="AH63" s="14">
        <f>SUM(AH54:AH62)</f>
        <v>-54117.952159739471</v>
      </c>
      <c r="AI63" s="14"/>
      <c r="AJ63" s="77"/>
      <c r="AK63" s="78"/>
      <c r="AL63" s="11"/>
    </row>
    <row r="64" spans="1:38" ht="18.95" thickBot="1">
      <c r="A64"/>
      <c r="B64" t="s">
        <v>242</v>
      </c>
      <c r="C64"/>
      <c r="H64" s="34" t="s">
        <v>157</v>
      </c>
      <c r="I64" s="14" t="e">
        <f>SUMPRODUCT(I55:I62,$AI54:$AI62)</f>
        <v>#VALUE!</v>
      </c>
      <c r="J64" s="14">
        <f>SUMPRODUCT(J54:J62,$AI54:$AI62)</f>
        <v>749.62842417333115</v>
      </c>
      <c r="K64" s="14">
        <f>SUMPRODUCT(K54:K62,$AI54:$AI62)</f>
        <v>36085.740816640428</v>
      </c>
      <c r="L64" s="14" t="e">
        <f>SUMPRODUCT(L54:L62,$AI54:$AI62)</f>
        <v>#REF!</v>
      </c>
      <c r="M64" s="14" t="e">
        <f>SUMPRODUCT(M54:M62,$AI54:$AI62)</f>
        <v>#REF!</v>
      </c>
      <c r="N64" s="14">
        <f>SUMPRODUCT(N54:N62,$AI54:$AI62)</f>
        <v>-22790.098957041224</v>
      </c>
      <c r="O64" s="14"/>
      <c r="P64" s="14" t="e">
        <f>SUMPRODUCT(P54:P62,$AI54:$AI62)</f>
        <v>#REF!</v>
      </c>
      <c r="Q64" s="14" t="e">
        <f>SUMPRODUCT(Q54:Q62,$AI54:$AI62)</f>
        <v>#REF!</v>
      </c>
      <c r="R64" s="14"/>
      <c r="S64" s="14">
        <f>SUMPRODUCT(S54:S62,$AI54:$AI62)</f>
        <v>-30826.988612390131</v>
      </c>
      <c r="T64" s="14">
        <f>SUMPRODUCT(T54:T62,$AI54:$AI62)</f>
        <v>20</v>
      </c>
      <c r="U64" s="14" t="e">
        <f>SUMPRODUCT(U54:U62,$AI54:$AI62)</f>
        <v>#VALUE!</v>
      </c>
      <c r="V64" s="14" t="e">
        <f>SUMPRODUCT(V55:V62,$AI55:$AI62)</f>
        <v>#VALUE!</v>
      </c>
      <c r="W64" s="14" t="e">
        <f>SUMPRODUCT(W54:W62,$AI54:$AI62)</f>
        <v>#VALUE!</v>
      </c>
      <c r="X64" s="14">
        <f>SUMPRODUCT(X54:X62,$AI54:$AI62)</f>
        <v>10780.136500313216</v>
      </c>
      <c r="Y64" s="14">
        <f>SUMPRODUCT(Y54:Y62,$AI54:$AI62)</f>
        <v>34315.190833519875</v>
      </c>
      <c r="Z64" s="14" t="e">
        <f>SUMPRODUCT(Z54:Z62,$AI54:$AI62)</f>
        <v>#VALUE!</v>
      </c>
      <c r="AA64" s="14" t="e">
        <f>SUMPRODUCT(AA55:AA62,$AI54:$AI62)</f>
        <v>#VALUE!</v>
      </c>
      <c r="AB64" s="14" t="e">
        <f>SUMPRODUCT(AB54:AB62,$AI54:$AI62)</f>
        <v>#VALUE!</v>
      </c>
      <c r="AC64" s="14">
        <f>SUMPRODUCT(AC54:AC62,$AI54:$AI62)</f>
        <v>-35322.880820426384</v>
      </c>
      <c r="AD64" s="14"/>
      <c r="AE64" s="14" t="e">
        <f>SUMPRODUCT(AE54:AE62,$AI54:$AI62)</f>
        <v>#REF!</v>
      </c>
      <c r="AF64" s="14" t="e">
        <f>SUMPRODUCT(AF54:AF62,$AI54:$AI62)</f>
        <v>#VALUE!</v>
      </c>
      <c r="AG64" s="14"/>
      <c r="AH64" s="14">
        <f>SUMPRODUCT(AH54:AH62,$AI54:$AI62)</f>
        <v>-46958.549328259862</v>
      </c>
      <c r="AI64" s="14"/>
      <c r="AJ64" s="15" t="e">
        <f>SUM(AJ54:AJ62)</f>
        <v>#REF!</v>
      </c>
      <c r="AK64" s="16" t="e">
        <f>SUM(AK54:AK62)</f>
        <v>#VALUE!</v>
      </c>
      <c r="AL64" s="11"/>
    </row>
    <row r="65" spans="1:9">
      <c r="A65"/>
      <c r="B65" t="s">
        <v>243</v>
      </c>
      <c r="C65"/>
      <c r="H65"/>
      <c r="I65"/>
    </row>
    <row r="66" spans="1:9">
      <c r="A66" t="s">
        <v>244</v>
      </c>
      <c r="B66" t="s">
        <v>245</v>
      </c>
      <c r="C66"/>
      <c r="H66"/>
      <c r="I66"/>
    </row>
    <row r="67" spans="1:9">
      <c r="A67"/>
      <c r="B67" t="s">
        <v>246</v>
      </c>
      <c r="C67"/>
      <c r="H67"/>
      <c r="I67"/>
    </row>
    <row r="68" spans="1:9">
      <c r="A68"/>
      <c r="B68" t="s">
        <v>247</v>
      </c>
      <c r="C68"/>
      <c r="H68"/>
      <c r="I68"/>
    </row>
    <row r="69" spans="1:9">
      <c r="A69" t="s">
        <v>248</v>
      </c>
      <c r="B69" t="s">
        <v>249</v>
      </c>
      <c r="H69"/>
      <c r="I69"/>
    </row>
    <row r="70" spans="1:9">
      <c r="H70"/>
      <c r="I70"/>
    </row>
    <row r="71" spans="1:9">
      <c r="H71"/>
      <c r="I71"/>
    </row>
    <row r="72" spans="1:9">
      <c r="H72"/>
      <c r="I72"/>
    </row>
    <row r="73" spans="1:9">
      <c r="H73"/>
      <c r="I73"/>
    </row>
    <row r="74" spans="1:9">
      <c r="H74"/>
      <c r="I74"/>
    </row>
    <row r="75" spans="1:9">
      <c r="H75"/>
      <c r="I75"/>
    </row>
  </sheetData>
  <hyperlinks>
    <hyperlink ref="D10" r:id="rId1" xr:uid="{96D2618F-57A7-4441-A00D-F7E63C800255}"/>
    <hyperlink ref="D11" r:id="rId2" display="https://www.canadianenergycentre.ca/up-to-350-per-cent-higher-at-the-pump-by-2030-the-impact-of-higher-carbon-taxes-on-gasoline-prices/?utm_source=chatgpt.com" xr:uid="{0C7411DE-A256-45A9-BB1E-DE28A69518ED}"/>
    <hyperlink ref="D12" r:id="rId3" display="https://news.gov.bc.ca/releases/2023EMLI0062-001683?utm_source=chatgpt.com" xr:uid="{DDCB764B-A99E-47AE-ACBB-39EA43CACA26}"/>
    <hyperlink ref="D40" r:id="rId4" display="https://www2.gov.bc.ca/gov/content/taxes/sales-taxes/motor-fuel-carbon-tax/publications/carbon-tax-rates-by-fuel-type?utm_source=chatgpt.com" xr:uid="{40CB0A02-845A-47E3-8507-D485E644DCDB}"/>
    <hyperlink ref="E27" r:id="rId5" display="https://taxtron.ca/blog/Capital_Cost_Allowance_CCA_and_CCA_Classes" xr:uid="{289335A3-B1C5-484C-84FA-9E212BAD3EC8}"/>
    <hyperlink ref="E28" r:id="rId6" xr:uid="{D1209FD6-8E7E-48B3-BC38-6C51134B9961}"/>
  </hyperlinks>
  <pageMargins left="0.7" right="0.7" top="0.75" bottom="0.75" header="0.3" footer="0.3"/>
  <ignoredErrors>
    <ignoredError sqref="Y5:Y10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817FD-24A3-4F5C-B85D-7C1BD998059E}">
  <dimension ref="A1:AT96"/>
  <sheetViews>
    <sheetView topLeftCell="A66" zoomScale="80" zoomScaleNormal="80" workbookViewId="0">
      <selection activeCell="M79" sqref="M79"/>
    </sheetView>
  </sheetViews>
  <sheetFormatPr defaultRowHeight="21.6"/>
  <cols>
    <col min="1" max="1" width="16.28515625" style="17" customWidth="1"/>
    <col min="2" max="2" width="20.42578125" style="17" customWidth="1"/>
    <col min="3" max="3" width="18.5703125" style="17" customWidth="1"/>
    <col min="4" max="4" width="26" style="17" customWidth="1"/>
    <col min="5" max="5" width="11.28515625" style="17" customWidth="1"/>
    <col min="6" max="6" width="15.140625" style="17" customWidth="1"/>
    <col min="7" max="7" width="11.5703125" style="17" customWidth="1"/>
    <col min="8" max="8" width="24" style="17" customWidth="1"/>
    <col min="9" max="9" width="16.5703125" style="51" customWidth="1"/>
    <col min="10" max="10" width="12.5703125" style="75" customWidth="1"/>
    <col min="11" max="12" width="13.85546875" style="18" customWidth="1"/>
    <col min="13" max="13" width="14.28515625" style="17" customWidth="1"/>
    <col min="14" max="14" width="29" style="17" customWidth="1"/>
    <col min="15" max="15" width="37.7109375" style="17" customWidth="1"/>
    <col min="16" max="16" width="15.5703125" style="17" customWidth="1"/>
    <col min="17" max="19" width="10.28515625" style="51" customWidth="1"/>
    <col min="20" max="31" width="12" style="17" customWidth="1"/>
    <col min="32" max="43" width="10.7109375" style="17" customWidth="1"/>
    <col min="44" max="44" width="10.7109375" customWidth="1"/>
    <col min="45" max="45" width="2.7109375" customWidth="1"/>
    <col min="46" max="46" width="15" customWidth="1"/>
  </cols>
  <sheetData>
    <row r="1" spans="1:46" s="1" customFormat="1" ht="46.5">
      <c r="A1" s="36" t="s">
        <v>250</v>
      </c>
      <c r="B1" s="36" t="s">
        <v>251</v>
      </c>
      <c r="C1" s="36" t="s">
        <v>5</v>
      </c>
      <c r="D1" s="36" t="s">
        <v>252</v>
      </c>
      <c r="E1" s="36" t="s">
        <v>253</v>
      </c>
      <c r="F1" s="36" t="s">
        <v>254</v>
      </c>
      <c r="G1" s="36" t="s">
        <v>14</v>
      </c>
      <c r="H1" s="36" t="s">
        <v>255</v>
      </c>
      <c r="I1" s="37" t="s">
        <v>256</v>
      </c>
      <c r="J1" s="72" t="s">
        <v>257</v>
      </c>
      <c r="K1" s="38" t="s">
        <v>258</v>
      </c>
      <c r="L1" s="38" t="s">
        <v>259</v>
      </c>
      <c r="M1" s="39" t="s">
        <v>260</v>
      </c>
      <c r="N1" s="39" t="s">
        <v>261</v>
      </c>
      <c r="O1" s="36" t="s">
        <v>262</v>
      </c>
      <c r="P1" s="36" t="s">
        <v>263</v>
      </c>
      <c r="Q1" s="36" t="s">
        <v>264</v>
      </c>
      <c r="R1" s="39" t="s">
        <v>265</v>
      </c>
      <c r="S1" s="39" t="s">
        <v>266</v>
      </c>
      <c r="T1" s="39" t="s">
        <v>267</v>
      </c>
      <c r="U1" s="39" t="s">
        <v>268</v>
      </c>
      <c r="V1" s="39" t="s">
        <v>269</v>
      </c>
      <c r="W1" s="39" t="s">
        <v>270</v>
      </c>
      <c r="X1" s="39" t="s">
        <v>271</v>
      </c>
      <c r="Y1" s="39" t="s">
        <v>272</v>
      </c>
      <c r="Z1" s="39" t="s">
        <v>273</v>
      </c>
      <c r="AA1" s="39" t="s">
        <v>274</v>
      </c>
      <c r="AB1" s="39" t="s">
        <v>275</v>
      </c>
      <c r="AC1" s="39" t="s">
        <v>276</v>
      </c>
      <c r="AD1" s="39" t="s">
        <v>277</v>
      </c>
      <c r="AE1" s="39" t="s">
        <v>278</v>
      </c>
      <c r="AF1" s="39" t="s">
        <v>279</v>
      </c>
      <c r="AG1" s="39" t="s">
        <v>280</v>
      </c>
      <c r="AH1" s="39" t="s">
        <v>281</v>
      </c>
      <c r="AI1" s="39" t="s">
        <v>282</v>
      </c>
      <c r="AJ1" s="39" t="s">
        <v>283</v>
      </c>
      <c r="AK1" s="39" t="s">
        <v>284</v>
      </c>
      <c r="AL1" s="39" t="s">
        <v>285</v>
      </c>
      <c r="AM1" s="39" t="s">
        <v>286</v>
      </c>
      <c r="AN1" s="39" t="s">
        <v>287</v>
      </c>
      <c r="AO1" s="39" t="s">
        <v>288</v>
      </c>
      <c r="AP1" s="39" t="s">
        <v>289</v>
      </c>
      <c r="AQ1" s="39" t="s">
        <v>290</v>
      </c>
      <c r="AR1" s="4" t="s">
        <v>291</v>
      </c>
    </row>
    <row r="2" spans="1:46" s="1" customFormat="1" ht="30.95">
      <c r="A2" s="40" t="s">
        <v>292</v>
      </c>
      <c r="B2" s="40" t="s">
        <v>293</v>
      </c>
      <c r="C2" s="90" t="str">
        <f>EV_DB[[#This Row],[Manufacturer  ]]&amp; " " &amp;EV_DB[[#This Row],[Model]]</f>
        <v xml:space="preserve">Ram Electric 1500 Large Battery </v>
      </c>
      <c r="D2" s="40" t="s">
        <v>294</v>
      </c>
      <c r="E2" s="40">
        <v>2025</v>
      </c>
      <c r="F2" s="40" t="s">
        <v>295</v>
      </c>
      <c r="G2" s="90" t="str" cm="1">
        <f t="array" ref="G2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Light Duty</v>
      </c>
      <c r="H2" s="45" t="s">
        <v>296</v>
      </c>
      <c r="I2" s="41">
        <v>1700</v>
      </c>
      <c r="J2" s="84">
        <v>81085</v>
      </c>
      <c r="K2" s="92" cm="1">
        <f t="array" ref="K2">_xlfn.IFS(EV_DB[[#This Row],[Category]]="Light Duty",'Maintenance costs table'!$D$4,EV_DB[[#This Row],[Category]]="Medium Duty",'Maintenance costs table'!$D$8,EV_DB[[#This Row],[Category]]="Heavy Duty",'Maintenance costs table'!$D$6)</f>
        <v>0.18</v>
      </c>
      <c r="L2" s="85" t="s">
        <v>17</v>
      </c>
      <c r="M2" s="40" t="s">
        <v>297</v>
      </c>
      <c r="N2" s="40">
        <v>0.28999999999999998</v>
      </c>
      <c r="O2" s="40"/>
      <c r="P2" s="40"/>
      <c r="Q2" s="41">
        <v>800</v>
      </c>
      <c r="R2" s="41" cm="1">
        <f t="array" ref="R2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10000</v>
      </c>
      <c r="S2" s="41"/>
      <c r="T2" s="40" cm="1">
        <f t="array" ref="T2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10000</v>
      </c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90">
        <f>MIN(MAX(EV_DB[[#This Row],[Federal Rebates (iMHZEV) ]],EV_DB[[#This Row],[ON Vehicle Rebates]]),PRODUCT(EV_DB[[#This Row],[Cost, $MSRP
CAD]],0.75))</f>
        <v>10000</v>
      </c>
      <c r="AG2" s="90">
        <f>MIN(EV_DB[[#This Row],[Federal Rebates (iMHZEV) ]]+EV_DB[[#This Row],[BC Vehicle Rebates]],PRODUCT(EV_DB[[#This Row],[Cost, $MSRP
CAD]],0.75))</f>
        <v>20000</v>
      </c>
      <c r="AH2" s="90">
        <f>MIN(EV_DB[[#This Row],[Federal Rebates (iMHZEV) ]]+EV_DB[[#This Row],[QC Vehicle Rebates]],PRODUCT(EV_DB[[#This Row],[Cost, $MSRP
CAD]],0.75))</f>
        <v>10000</v>
      </c>
      <c r="AI2" s="90">
        <f>MIN(MAX(EV_DB[[#This Row],[Federal Rebates (iMHZEV) ]],EV_DB[[#This Row],[AB Vehicle Rebates]]),PRODUCT(EV_DB[[#This Row],[Cost, $MSRP
CAD]],0.75))</f>
        <v>10000</v>
      </c>
      <c r="AJ2" s="90">
        <f>MIN(MAX(EV_DB[[#This Row],[Federal Rebates (iMHZEV) ]],EV_DB[[#This Row],[SC Vehicle Rebates]]),PRODUCT(EV_DB[[#This Row],[Cost, $MSRP
CAD]],0.75))</f>
        <v>10000</v>
      </c>
      <c r="AK2" s="90">
        <f>MIN(MAX(EV_DB[[#This Row],[Federal Rebates (iMHZEV) ]],EV_DB[[#This Row],[NS Vehicle Rebates]]),PRODUCT(EV_DB[[#This Row],[Cost, $MSRP
CAD]],0.75))</f>
        <v>10000</v>
      </c>
      <c r="AL2" s="90">
        <f>MIN(MAX(EV_DB[[#This Row],[Federal Rebates (iMHZEV) ]],EV_DB[[#This Row],[NB Vehicle Rebates]]),PRODUCT(EV_DB[[#This Row],[Cost, $MSRP
CAD]],0.75))</f>
        <v>10000</v>
      </c>
      <c r="AM2" s="90">
        <f>MIN(MAX(EV_DB[[#This Row],[Federal Rebates (iMHZEV) ]],EV_DB[[#This Row],[MB Vehicle Rebates]]),PRODUCT(EV_DB[[#This Row],[Cost, $MSRP
CAD]],0.75))</f>
        <v>10000</v>
      </c>
      <c r="AN2" s="90">
        <f>MIN(MAX(EV_DB[[#This Row],[Federal Rebates (iMHZEV) ]],EV_DB[[#This Row],[PEI Vehicle Rebates]]),PRODUCT(EV_DB[[#This Row],[Cost, $MSRP
CAD]],0.75))</f>
        <v>10000</v>
      </c>
      <c r="AO2" s="90">
        <f>MIN(MAX(EV_DB[[#This Row],[Federal Rebates (iMHZEV) ]],EV_DB[[#This Row],[NL Vehicle Rebates]]),PRODUCT(EV_DB[[#This Row],[Cost, $MSRP
CAD]],0.75))</f>
        <v>10000</v>
      </c>
      <c r="AP2" s="90">
        <f>MIN(MAX(EV_DB[[#This Row],[Federal Rebates (iMHZEV) ]]+EV_DB[[#This Row],[YT Vehicle Rebates]]),PRODUCT(EV_DB[[#This Row],[Cost, $MSRP
CAD]],0.75))</f>
        <v>10000</v>
      </c>
      <c r="AQ2" s="90">
        <f>MIN(MAX(EV_DB[[#This Row],[Federal Rebates (iMHZEV) ]],EV_DB[[#This Row],[NU Vehicle Rebates]]),PRODUCT(EV_DB[[#This Row],[Cost, $MSRP
CAD]],0.75))</f>
        <v>10000</v>
      </c>
      <c r="AR2" s="90">
        <f>MIN(MAX(EV_DB[[#This Row],[Federal Rebates (iMHZEV) ]],EV_DB[[#This Row],[NT Vehicle Rebates]]),PRODUCT(EV_DB[[#This Row],[Cost, $MSRP
CAD]],0.75))</f>
        <v>10000</v>
      </c>
    </row>
    <row r="3" spans="1:46" s="1" customFormat="1" ht="30.95">
      <c r="A3" s="40" t="s">
        <v>298</v>
      </c>
      <c r="B3" s="40" t="s">
        <v>299</v>
      </c>
      <c r="C3" s="90" t="str">
        <f>EV_DB[[#This Row],[Manufacturer  ]]&amp; " " &amp;EV_DB[[#This Row],[Model]]</f>
        <v>GMC  GMC Sierra EV Denali Edition 1</v>
      </c>
      <c r="D3" s="40" t="s">
        <v>294</v>
      </c>
      <c r="E3" s="40">
        <v>2025</v>
      </c>
      <c r="F3" s="40" t="s">
        <v>295</v>
      </c>
      <c r="G3" s="90" t="str" cm="1">
        <f t="array" ref="G3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Light Duty</v>
      </c>
      <c r="H3" s="45">
        <v>9990</v>
      </c>
      <c r="I3" s="41" t="s">
        <v>300</v>
      </c>
      <c r="J3" s="84">
        <v>92290</v>
      </c>
      <c r="K3" s="92" cm="1">
        <f t="array" ref="K3">_xlfn.IFS(EV_DB[[#This Row],[Category]]="Light Duty",'Maintenance costs table'!$D$4,EV_DB[[#This Row],[Category]]="Medium Duty",'Maintenance costs table'!$D$8,EV_DB[[#This Row],[Category]]="Heavy Duty",'Maintenance costs table'!$D$6)</f>
        <v>0.18</v>
      </c>
      <c r="L3" s="85" t="s">
        <v>17</v>
      </c>
      <c r="M3" s="40" t="s">
        <v>301</v>
      </c>
      <c r="N3" s="40">
        <v>0.34899999999999998</v>
      </c>
      <c r="O3" s="40" t="s">
        <v>302</v>
      </c>
      <c r="P3" s="40"/>
      <c r="Q3" s="41">
        <v>708.11099999999999</v>
      </c>
      <c r="R3" s="41" cm="1">
        <f t="array" ref="R3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10000</v>
      </c>
      <c r="S3" s="41"/>
      <c r="T3" s="40" cm="1">
        <f t="array" ref="T3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10000</v>
      </c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90">
        <f>MIN(MAX(EV_DB[[#This Row],[Federal Rebates (iMHZEV) ]],EV_DB[[#This Row],[ON Vehicle Rebates]]),PRODUCT(EV_DB[[#This Row],[Cost, $MSRP
CAD]],0.75))</f>
        <v>10000</v>
      </c>
      <c r="AG3" s="90">
        <f>MIN(EV_DB[[#This Row],[Federal Rebates (iMHZEV) ]]+EV_DB[[#This Row],[BC Vehicle Rebates]],PRODUCT(EV_DB[[#This Row],[Cost, $MSRP
CAD]],0.75))</f>
        <v>20000</v>
      </c>
      <c r="AH3" s="90">
        <f>MIN(EV_DB[[#This Row],[Federal Rebates (iMHZEV) ]]+EV_DB[[#This Row],[QC Vehicle Rebates]],PRODUCT(EV_DB[[#This Row],[Cost, $MSRP
CAD]],0.75))</f>
        <v>10000</v>
      </c>
      <c r="AI3" s="90">
        <f>MIN(MAX(EV_DB[[#This Row],[Federal Rebates (iMHZEV) ]],EV_DB[[#This Row],[AB Vehicle Rebates]]),PRODUCT(EV_DB[[#This Row],[Cost, $MSRP
CAD]],0.75))</f>
        <v>10000</v>
      </c>
      <c r="AJ3" s="90">
        <f>MIN(MAX(EV_DB[[#This Row],[Federal Rebates (iMHZEV) ]],EV_DB[[#This Row],[SC Vehicle Rebates]]),PRODUCT(EV_DB[[#This Row],[Cost, $MSRP
CAD]],0.75))</f>
        <v>10000</v>
      </c>
      <c r="AK3" s="90">
        <f>MIN(MAX(EV_DB[[#This Row],[Federal Rebates (iMHZEV) ]],EV_DB[[#This Row],[NS Vehicle Rebates]]),PRODUCT(EV_DB[[#This Row],[Cost, $MSRP
CAD]],0.75))</f>
        <v>10000</v>
      </c>
      <c r="AL3" s="90">
        <f>MIN(MAX(EV_DB[[#This Row],[Federal Rebates (iMHZEV) ]],EV_DB[[#This Row],[NB Vehicle Rebates]]),PRODUCT(EV_DB[[#This Row],[Cost, $MSRP
CAD]],0.75))</f>
        <v>10000</v>
      </c>
      <c r="AM3" s="90">
        <f>MIN(MAX(EV_DB[[#This Row],[Federal Rebates (iMHZEV) ]],EV_DB[[#This Row],[MB Vehicle Rebates]]),PRODUCT(EV_DB[[#This Row],[Cost, $MSRP
CAD]],0.75))</f>
        <v>10000</v>
      </c>
      <c r="AN3" s="90">
        <f>MIN(MAX(EV_DB[[#This Row],[Federal Rebates (iMHZEV) ]],EV_DB[[#This Row],[PEI Vehicle Rebates]]),PRODUCT(EV_DB[[#This Row],[Cost, $MSRP
CAD]],0.75))</f>
        <v>10000</v>
      </c>
      <c r="AO3" s="90">
        <f>MIN(MAX(EV_DB[[#This Row],[Federal Rebates (iMHZEV) ]],EV_DB[[#This Row],[NL Vehicle Rebates]]),PRODUCT(EV_DB[[#This Row],[Cost, $MSRP
CAD]],0.75))</f>
        <v>10000</v>
      </c>
      <c r="AP3" s="90">
        <f>MIN(MAX(EV_DB[[#This Row],[Federal Rebates (iMHZEV) ]]+EV_DB[[#This Row],[YT Vehicle Rebates]]),PRODUCT(EV_DB[[#This Row],[Cost, $MSRP
CAD]],0.75))</f>
        <v>10000</v>
      </c>
      <c r="AQ3" s="90">
        <f>MIN(MAX(EV_DB[[#This Row],[Federal Rebates (iMHZEV) ]],EV_DB[[#This Row],[NU Vehicle Rebates]]),PRODUCT(EV_DB[[#This Row],[Cost, $MSRP
CAD]],0.75))</f>
        <v>10000</v>
      </c>
      <c r="AR3" s="93">
        <f>MIN(MAX(EV_DB[[#This Row],[Federal Rebates (iMHZEV) ]],EV_DB[[#This Row],[NT Vehicle Rebates]]),PRODUCT(EV_DB[[#This Row],[Cost, $MSRP
CAD]],0.75))</f>
        <v>10000</v>
      </c>
    </row>
    <row r="4" spans="1:46" s="1" customFormat="1" ht="93">
      <c r="A4" s="40" t="s">
        <v>303</v>
      </c>
      <c r="B4" s="40" t="s">
        <v>304</v>
      </c>
      <c r="C4" s="90" t="str">
        <f>EV_DB[[#This Row],[Manufacturer  ]]&amp; " " &amp;EV_DB[[#This Row],[Model]]</f>
        <v>Chevrolet Silverado EV 3WT Max Range</v>
      </c>
      <c r="D4" s="40" t="s">
        <v>294</v>
      </c>
      <c r="E4" s="40">
        <v>2025</v>
      </c>
      <c r="F4" s="40" t="s">
        <v>295</v>
      </c>
      <c r="G4" s="90" t="str" cm="1">
        <f t="array" ref="G4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Light Duty</v>
      </c>
      <c r="H4" s="40">
        <v>9900</v>
      </c>
      <c r="I4" s="41">
        <v>1800</v>
      </c>
      <c r="J4" s="71">
        <v>85833</v>
      </c>
      <c r="K4" s="92" cm="1">
        <f t="array" ref="K4">_xlfn.IFS(EV_DB[[#This Row],[Category]]="Light Duty",'Maintenance costs table'!$D$4,EV_DB[[#This Row],[Category]]="Medium Duty",'Maintenance costs table'!$D$8,EV_DB[[#This Row],[Category]]="Heavy Duty",'Maintenance costs table'!$D$6)</f>
        <v>0.18</v>
      </c>
      <c r="L4" s="85" t="s">
        <v>17</v>
      </c>
      <c r="M4" s="40" t="s">
        <v>301</v>
      </c>
      <c r="N4" s="40">
        <v>0.314</v>
      </c>
      <c r="O4" s="40" t="s">
        <v>305</v>
      </c>
      <c r="P4" s="40"/>
      <c r="Q4" s="41">
        <v>792</v>
      </c>
      <c r="R4" s="41" cm="1">
        <f t="array" ref="R4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10000</v>
      </c>
      <c r="S4" s="41"/>
      <c r="T4" s="40" cm="1">
        <f t="array" ref="T4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10000</v>
      </c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90">
        <f>MIN(MAX(EV_DB[[#This Row],[Federal Rebates (iMHZEV) ]],EV_DB[[#This Row],[ON Vehicle Rebates]]),PRODUCT(EV_DB[[#This Row],[Cost, $MSRP
CAD]],0.75))</f>
        <v>10000</v>
      </c>
      <c r="AG4" s="90">
        <f>MIN(EV_DB[[#This Row],[Federal Rebates (iMHZEV) ]]+EV_DB[[#This Row],[BC Vehicle Rebates]],PRODUCT(EV_DB[[#This Row],[Cost, $MSRP
CAD]],0.75))</f>
        <v>20000</v>
      </c>
      <c r="AH4" s="90">
        <f>MIN(EV_DB[[#This Row],[Federal Rebates (iMHZEV) ]]+EV_DB[[#This Row],[QC Vehicle Rebates]],PRODUCT(EV_DB[[#This Row],[Cost, $MSRP
CAD]],0.75))</f>
        <v>10000</v>
      </c>
      <c r="AI4" s="90">
        <f>MIN(MAX(EV_DB[[#This Row],[Federal Rebates (iMHZEV) ]],EV_DB[[#This Row],[AB Vehicle Rebates]]),PRODUCT(EV_DB[[#This Row],[Cost, $MSRP
CAD]],0.75))</f>
        <v>10000</v>
      </c>
      <c r="AJ4" s="90">
        <f>MIN(MAX(EV_DB[[#This Row],[Federal Rebates (iMHZEV) ]],EV_DB[[#This Row],[SC Vehicle Rebates]]),PRODUCT(EV_DB[[#This Row],[Cost, $MSRP
CAD]],0.75))</f>
        <v>10000</v>
      </c>
      <c r="AK4" s="90">
        <f>MIN(MAX(EV_DB[[#This Row],[Federal Rebates (iMHZEV) ]],EV_DB[[#This Row],[NS Vehicle Rebates]]),PRODUCT(EV_DB[[#This Row],[Cost, $MSRP
CAD]],0.75))</f>
        <v>10000</v>
      </c>
      <c r="AL4" s="90">
        <f>MIN(MAX(EV_DB[[#This Row],[Federal Rebates (iMHZEV) ]],EV_DB[[#This Row],[NB Vehicle Rebates]]),PRODUCT(EV_DB[[#This Row],[Cost, $MSRP
CAD]],0.75))</f>
        <v>10000</v>
      </c>
      <c r="AM4" s="90">
        <f>MIN(MAX(EV_DB[[#This Row],[Federal Rebates (iMHZEV) ]],EV_DB[[#This Row],[MB Vehicle Rebates]]),PRODUCT(EV_DB[[#This Row],[Cost, $MSRP
CAD]],0.75))</f>
        <v>10000</v>
      </c>
      <c r="AN4" s="90">
        <f>MIN(MAX(EV_DB[[#This Row],[Federal Rebates (iMHZEV) ]],EV_DB[[#This Row],[PEI Vehicle Rebates]]),PRODUCT(EV_DB[[#This Row],[Cost, $MSRP
CAD]],0.75))</f>
        <v>10000</v>
      </c>
      <c r="AO4" s="90">
        <f>MIN(MAX(EV_DB[[#This Row],[Federal Rebates (iMHZEV) ]],EV_DB[[#This Row],[NL Vehicle Rebates]]),PRODUCT(EV_DB[[#This Row],[Cost, $MSRP
CAD]],0.75))</f>
        <v>10000</v>
      </c>
      <c r="AP4" s="90">
        <f>MIN(MAX(EV_DB[[#This Row],[Federal Rebates (iMHZEV) ]]+EV_DB[[#This Row],[YT Vehicle Rebates]]),PRODUCT(EV_DB[[#This Row],[Cost, $MSRP
CAD]],0.75))</f>
        <v>10000</v>
      </c>
      <c r="AQ4" s="90">
        <f>MIN(MAX(EV_DB[[#This Row],[Federal Rebates (iMHZEV) ]],EV_DB[[#This Row],[NU Vehicle Rebates]]),PRODUCT(EV_DB[[#This Row],[Cost, $MSRP
CAD]],0.75))</f>
        <v>10000</v>
      </c>
      <c r="AR4" s="93">
        <f>MIN(MAX(EV_DB[[#This Row],[Federal Rebates (iMHZEV) ]],EV_DB[[#This Row],[NT Vehicle Rebates]]),PRODUCT(EV_DB[[#This Row],[Cost, $MSRP
CAD]],0.75))</f>
        <v>10000</v>
      </c>
    </row>
    <row r="5" spans="1:46" s="1" customFormat="1" ht="93">
      <c r="A5" s="40" t="s">
        <v>303</v>
      </c>
      <c r="B5" s="40" t="s">
        <v>306</v>
      </c>
      <c r="C5" s="90" t="str">
        <f>EV_DB[[#This Row],[Manufacturer  ]]&amp; " " &amp;EV_DB[[#This Row],[Model]]</f>
        <v xml:space="preserve">Chevrolet Silverado EV LT E4WD </v>
      </c>
      <c r="D5" s="40" t="s">
        <v>294</v>
      </c>
      <c r="E5" s="40">
        <v>2025</v>
      </c>
      <c r="F5" s="40" t="s">
        <v>295</v>
      </c>
      <c r="G5" s="90" t="str" cm="1">
        <f t="array" ref="G5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Light Duty</v>
      </c>
      <c r="H5" s="40">
        <v>9990</v>
      </c>
      <c r="I5" s="41">
        <v>1800</v>
      </c>
      <c r="J5" s="71">
        <v>95833</v>
      </c>
      <c r="K5" s="92" cm="1">
        <f t="array" ref="K5">_xlfn.IFS(EV_DB[[#This Row],[Category]]="Light Duty",'Maintenance costs table'!$D$4,EV_DB[[#This Row],[Category]]="Medium Duty",'Maintenance costs table'!$D$8,EV_DB[[#This Row],[Category]]="Heavy Duty",'Maintenance costs table'!$D$6)</f>
        <v>0.18</v>
      </c>
      <c r="L5" s="85" t="s">
        <v>17</v>
      </c>
      <c r="M5" s="40" t="s">
        <v>307</v>
      </c>
      <c r="N5" s="40">
        <v>0.308</v>
      </c>
      <c r="O5" s="40" t="s">
        <v>305</v>
      </c>
      <c r="P5" s="40"/>
      <c r="Q5" s="41">
        <v>740</v>
      </c>
      <c r="R5" s="41" cm="1">
        <f t="array" ref="R5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10000</v>
      </c>
      <c r="S5" s="41"/>
      <c r="T5" s="40" cm="1">
        <f t="array" ref="T5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10000</v>
      </c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90">
        <f>MIN(MAX(EV_DB[[#This Row],[Federal Rebates (iMHZEV) ]],EV_DB[[#This Row],[ON Vehicle Rebates]]),PRODUCT(EV_DB[[#This Row],[Cost, $MSRP
CAD]],0.75))</f>
        <v>10000</v>
      </c>
      <c r="AG5" s="90">
        <f>MIN(EV_DB[[#This Row],[Federal Rebates (iMHZEV) ]]+EV_DB[[#This Row],[BC Vehicle Rebates]],PRODUCT(EV_DB[[#This Row],[Cost, $MSRP
CAD]],0.75))</f>
        <v>20000</v>
      </c>
      <c r="AH5" s="90">
        <f>MIN(EV_DB[[#This Row],[Federal Rebates (iMHZEV) ]]+EV_DB[[#This Row],[QC Vehicle Rebates]],PRODUCT(EV_DB[[#This Row],[Cost, $MSRP
CAD]],0.75))</f>
        <v>10000</v>
      </c>
      <c r="AI5" s="90">
        <f>MIN(MAX(EV_DB[[#This Row],[Federal Rebates (iMHZEV) ]],EV_DB[[#This Row],[AB Vehicle Rebates]]),PRODUCT(EV_DB[[#This Row],[Cost, $MSRP
CAD]],0.75))</f>
        <v>10000</v>
      </c>
      <c r="AJ5" s="90">
        <f>MIN(MAX(EV_DB[[#This Row],[Federal Rebates (iMHZEV) ]],EV_DB[[#This Row],[SC Vehicle Rebates]]),PRODUCT(EV_DB[[#This Row],[Cost, $MSRP
CAD]],0.75))</f>
        <v>10000</v>
      </c>
      <c r="AK5" s="90">
        <f>MIN(MAX(EV_DB[[#This Row],[Federal Rebates (iMHZEV) ]],EV_DB[[#This Row],[NS Vehicle Rebates]]),PRODUCT(EV_DB[[#This Row],[Cost, $MSRP
CAD]],0.75))</f>
        <v>10000</v>
      </c>
      <c r="AL5" s="90">
        <f>MIN(MAX(EV_DB[[#This Row],[Federal Rebates (iMHZEV) ]],EV_DB[[#This Row],[NB Vehicle Rebates]]),PRODUCT(EV_DB[[#This Row],[Cost, $MSRP
CAD]],0.75))</f>
        <v>10000</v>
      </c>
      <c r="AM5" s="90">
        <f>MIN(MAX(EV_DB[[#This Row],[Federal Rebates (iMHZEV) ]],EV_DB[[#This Row],[MB Vehicle Rebates]]),PRODUCT(EV_DB[[#This Row],[Cost, $MSRP
CAD]],0.75))</f>
        <v>10000</v>
      </c>
      <c r="AN5" s="90">
        <f>MIN(MAX(EV_DB[[#This Row],[Federal Rebates (iMHZEV) ]],EV_DB[[#This Row],[PEI Vehicle Rebates]]),PRODUCT(EV_DB[[#This Row],[Cost, $MSRP
CAD]],0.75))</f>
        <v>10000</v>
      </c>
      <c r="AO5" s="90">
        <f>MIN(MAX(EV_DB[[#This Row],[Federal Rebates (iMHZEV) ]],EV_DB[[#This Row],[NL Vehicle Rebates]]),PRODUCT(EV_DB[[#This Row],[Cost, $MSRP
CAD]],0.75))</f>
        <v>10000</v>
      </c>
      <c r="AP5" s="90">
        <f>MIN(MAX(EV_DB[[#This Row],[Federal Rebates (iMHZEV) ]]+EV_DB[[#This Row],[YT Vehicle Rebates]]),PRODUCT(EV_DB[[#This Row],[Cost, $MSRP
CAD]],0.75))</f>
        <v>10000</v>
      </c>
      <c r="AQ5" s="90">
        <f>MIN(MAX(EV_DB[[#This Row],[Federal Rebates (iMHZEV) ]],EV_DB[[#This Row],[NU Vehicle Rebates]]),PRODUCT(EV_DB[[#This Row],[Cost, $MSRP
CAD]],0.75))</f>
        <v>10000</v>
      </c>
      <c r="AR5" s="93">
        <f>MIN(MAX(EV_DB[[#This Row],[Federal Rebates (iMHZEV) ]],EV_DB[[#This Row],[NT Vehicle Rebates]]),PRODUCT(EV_DB[[#This Row],[Cost, $MSRP
CAD]],0.75))</f>
        <v>10000</v>
      </c>
    </row>
    <row r="6" spans="1:46" s="1" customFormat="1" ht="58.15" customHeight="1">
      <c r="A6" s="40" t="s">
        <v>308</v>
      </c>
      <c r="B6" s="40" t="s">
        <v>309</v>
      </c>
      <c r="C6" s="90" t="str">
        <f>EV_DB[[#This Row],[Manufacturer  ]]&amp; " " &amp;EV_DB[[#This Row],[Model]]</f>
        <v>Ford  F 150 Lightning</v>
      </c>
      <c r="D6" s="40" t="s">
        <v>294</v>
      </c>
      <c r="E6" s="40">
        <v>2025</v>
      </c>
      <c r="F6" s="40" t="s">
        <v>295</v>
      </c>
      <c r="G6" s="90" t="str" cm="1">
        <f t="array" ref="G6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Light Duty</v>
      </c>
      <c r="H6" s="40">
        <v>8550</v>
      </c>
      <c r="I6" s="41">
        <v>2235</v>
      </c>
      <c r="J6" s="71">
        <v>62890</v>
      </c>
      <c r="K6" s="92" cm="1">
        <f t="array" ref="K6">_xlfn.IFS(EV_DB[[#This Row],[Category]]="Light Duty",'Maintenance costs table'!$D$4,EV_DB[[#This Row],[Category]]="Medium Duty",'Maintenance costs table'!$D$8,EV_DB[[#This Row],[Category]]="Heavy Duty",'Maintenance costs table'!$D$6)</f>
        <v>0.18</v>
      </c>
      <c r="L6" s="85" t="s">
        <v>17</v>
      </c>
      <c r="M6" s="40" t="s">
        <v>310</v>
      </c>
      <c r="N6" s="40">
        <v>0.254</v>
      </c>
      <c r="O6" s="40" t="s">
        <v>311</v>
      </c>
      <c r="P6" s="40"/>
      <c r="Q6" s="41">
        <v>386</v>
      </c>
      <c r="R6" s="41" cm="1">
        <f t="array" ref="R6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10000</v>
      </c>
      <c r="S6" s="41"/>
      <c r="T6" s="40" cm="1">
        <f t="array" ref="T6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10000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90">
        <f>MIN(MAX(EV_DB[[#This Row],[Federal Rebates (iMHZEV) ]],EV_DB[[#This Row],[ON Vehicle Rebates]]),PRODUCT(EV_DB[[#This Row],[Cost, $MSRP
CAD]],0.75))</f>
        <v>10000</v>
      </c>
      <c r="AG6" s="90">
        <f>MIN(EV_DB[[#This Row],[Federal Rebates (iMHZEV) ]]+EV_DB[[#This Row],[BC Vehicle Rebates]],PRODUCT(EV_DB[[#This Row],[Cost, $MSRP
CAD]],0.75))</f>
        <v>20000</v>
      </c>
      <c r="AH6" s="90">
        <f>MIN(EV_DB[[#This Row],[Federal Rebates (iMHZEV) ]]+EV_DB[[#This Row],[QC Vehicle Rebates]],PRODUCT(EV_DB[[#This Row],[Cost, $MSRP
CAD]],0.75))</f>
        <v>10000</v>
      </c>
      <c r="AI6" s="90">
        <f>MIN(MAX(EV_DB[[#This Row],[Federal Rebates (iMHZEV) ]],EV_DB[[#This Row],[AB Vehicle Rebates]]),PRODUCT(EV_DB[[#This Row],[Cost, $MSRP
CAD]],0.75))</f>
        <v>10000</v>
      </c>
      <c r="AJ6" s="90">
        <f>MIN(MAX(EV_DB[[#This Row],[Federal Rebates (iMHZEV) ]],EV_DB[[#This Row],[SC Vehicle Rebates]]),PRODUCT(EV_DB[[#This Row],[Cost, $MSRP
CAD]],0.75))</f>
        <v>10000</v>
      </c>
      <c r="AK6" s="90">
        <f>MIN(MAX(EV_DB[[#This Row],[Federal Rebates (iMHZEV) ]],EV_DB[[#This Row],[NS Vehicle Rebates]]),PRODUCT(EV_DB[[#This Row],[Cost, $MSRP
CAD]],0.75))</f>
        <v>10000</v>
      </c>
      <c r="AL6" s="90">
        <f>MIN(MAX(EV_DB[[#This Row],[Federal Rebates (iMHZEV) ]],EV_DB[[#This Row],[NB Vehicle Rebates]]),PRODUCT(EV_DB[[#This Row],[Cost, $MSRP
CAD]],0.75))</f>
        <v>10000</v>
      </c>
      <c r="AM6" s="90">
        <f>MIN(MAX(EV_DB[[#This Row],[Federal Rebates (iMHZEV) ]],EV_DB[[#This Row],[MB Vehicle Rebates]]),PRODUCT(EV_DB[[#This Row],[Cost, $MSRP
CAD]],0.75))</f>
        <v>10000</v>
      </c>
      <c r="AN6" s="90">
        <f>MIN(MAX(EV_DB[[#This Row],[Federal Rebates (iMHZEV) ]],EV_DB[[#This Row],[PEI Vehicle Rebates]]),PRODUCT(EV_DB[[#This Row],[Cost, $MSRP
CAD]],0.75))</f>
        <v>10000</v>
      </c>
      <c r="AO6" s="90">
        <f>MIN(MAX(EV_DB[[#This Row],[Federal Rebates (iMHZEV) ]],EV_DB[[#This Row],[NL Vehicle Rebates]]),PRODUCT(EV_DB[[#This Row],[Cost, $MSRP
CAD]],0.75))</f>
        <v>10000</v>
      </c>
      <c r="AP6" s="90">
        <f>MIN(MAX(EV_DB[[#This Row],[Federal Rebates (iMHZEV) ]]+EV_DB[[#This Row],[YT Vehicle Rebates]]),PRODUCT(EV_DB[[#This Row],[Cost, $MSRP
CAD]],0.75))</f>
        <v>10000</v>
      </c>
      <c r="AQ6" s="90">
        <f>MIN(MAX(EV_DB[[#This Row],[Federal Rebates (iMHZEV) ]],EV_DB[[#This Row],[NU Vehicle Rebates]]),PRODUCT(EV_DB[[#This Row],[Cost, $MSRP
CAD]],0.75))</f>
        <v>10000</v>
      </c>
      <c r="AR6" s="93">
        <f>MIN(MAX(EV_DB[[#This Row],[Federal Rebates (iMHZEV) ]],EV_DB[[#This Row],[NT Vehicle Rebates]]),PRODUCT(EV_DB[[#This Row],[Cost, $MSRP
CAD]],0.75))</f>
        <v>10000</v>
      </c>
    </row>
    <row r="7" spans="1:46" s="1" customFormat="1" ht="58.15" customHeight="1">
      <c r="A7" s="40" t="s">
        <v>308</v>
      </c>
      <c r="B7" s="40" t="s">
        <v>312</v>
      </c>
      <c r="C7" s="90" t="str">
        <f>EV_DB[[#This Row],[Manufacturer  ]]&amp; " " &amp;EV_DB[[#This Row],[Model]]</f>
        <v>Ford  F 150 Lightning Flash and Lariat</v>
      </c>
      <c r="D7" s="40" t="s">
        <v>294</v>
      </c>
      <c r="E7" s="40">
        <v>2025</v>
      </c>
      <c r="F7" s="40" t="s">
        <v>295</v>
      </c>
      <c r="G7" s="90" t="str" cm="1">
        <f t="array" ref="G7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Light Duty</v>
      </c>
      <c r="H7" s="40">
        <v>8550</v>
      </c>
      <c r="I7" s="41">
        <v>2235</v>
      </c>
      <c r="J7" s="71">
        <v>79090</v>
      </c>
      <c r="K7" s="92" cm="1">
        <f t="array" ref="K7">_xlfn.IFS(EV_DB[[#This Row],[Category]]="Light Duty",'Maintenance costs table'!$D$4,EV_DB[[#This Row],[Category]]="Medium Duty",'Maintenance costs table'!$D$8,EV_DB[[#This Row],[Category]]="Heavy Duty",'Maintenance costs table'!$D$6)</f>
        <v>0.18</v>
      </c>
      <c r="L7" s="85" t="s">
        <v>17</v>
      </c>
      <c r="M7" s="40" t="s">
        <v>313</v>
      </c>
      <c r="N7" s="40">
        <v>0.26500000000000001</v>
      </c>
      <c r="O7" s="40" t="s">
        <v>314</v>
      </c>
      <c r="P7" s="40"/>
      <c r="Q7" s="41">
        <v>515</v>
      </c>
      <c r="R7" s="41" cm="1">
        <f t="array" ref="R7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10000</v>
      </c>
      <c r="S7" s="41"/>
      <c r="T7" s="40" cm="1">
        <f t="array" ref="T7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10000</v>
      </c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90">
        <f>MIN(MAX(EV_DB[[#This Row],[Federal Rebates (iMHZEV) ]],EV_DB[[#This Row],[ON Vehicle Rebates]]),PRODUCT(EV_DB[[#This Row],[Cost, $MSRP
CAD]],0.75))</f>
        <v>10000</v>
      </c>
      <c r="AG7" s="90">
        <f>MIN(EV_DB[[#This Row],[Federal Rebates (iMHZEV) ]]+EV_DB[[#This Row],[BC Vehicle Rebates]],PRODUCT(EV_DB[[#This Row],[Cost, $MSRP
CAD]],0.75))</f>
        <v>20000</v>
      </c>
      <c r="AH7" s="90">
        <f>MIN(EV_DB[[#This Row],[Federal Rebates (iMHZEV) ]]+EV_DB[[#This Row],[QC Vehicle Rebates]],PRODUCT(EV_DB[[#This Row],[Cost, $MSRP
CAD]],0.75))</f>
        <v>10000</v>
      </c>
      <c r="AI7" s="90">
        <f>MIN(MAX(EV_DB[[#This Row],[Federal Rebates (iMHZEV) ]],EV_DB[[#This Row],[AB Vehicle Rebates]]),PRODUCT(EV_DB[[#This Row],[Cost, $MSRP
CAD]],0.75))</f>
        <v>10000</v>
      </c>
      <c r="AJ7" s="90">
        <f>MIN(MAX(EV_DB[[#This Row],[Federal Rebates (iMHZEV) ]],EV_DB[[#This Row],[SC Vehicle Rebates]]),PRODUCT(EV_DB[[#This Row],[Cost, $MSRP
CAD]],0.75))</f>
        <v>10000</v>
      </c>
      <c r="AK7" s="90">
        <f>MIN(MAX(EV_DB[[#This Row],[Federal Rebates (iMHZEV) ]],EV_DB[[#This Row],[NS Vehicle Rebates]]),PRODUCT(EV_DB[[#This Row],[Cost, $MSRP
CAD]],0.75))</f>
        <v>10000</v>
      </c>
      <c r="AL7" s="90">
        <f>MIN(MAX(EV_DB[[#This Row],[Federal Rebates (iMHZEV) ]],EV_DB[[#This Row],[NB Vehicle Rebates]]),PRODUCT(EV_DB[[#This Row],[Cost, $MSRP
CAD]],0.75))</f>
        <v>10000</v>
      </c>
      <c r="AM7" s="90">
        <f>MIN(MAX(EV_DB[[#This Row],[Federal Rebates (iMHZEV) ]],EV_DB[[#This Row],[MB Vehicle Rebates]]),PRODUCT(EV_DB[[#This Row],[Cost, $MSRP
CAD]],0.75))</f>
        <v>10000</v>
      </c>
      <c r="AN7" s="90">
        <f>MIN(MAX(EV_DB[[#This Row],[Federal Rebates (iMHZEV) ]],EV_DB[[#This Row],[PEI Vehicle Rebates]]),PRODUCT(EV_DB[[#This Row],[Cost, $MSRP
CAD]],0.75))</f>
        <v>10000</v>
      </c>
      <c r="AO7" s="90">
        <f>MIN(MAX(EV_DB[[#This Row],[Federal Rebates (iMHZEV) ]],EV_DB[[#This Row],[NL Vehicle Rebates]]),PRODUCT(EV_DB[[#This Row],[Cost, $MSRP
CAD]],0.75))</f>
        <v>10000</v>
      </c>
      <c r="AP7" s="90">
        <f>MIN(MAX(EV_DB[[#This Row],[Federal Rebates (iMHZEV) ]]+EV_DB[[#This Row],[YT Vehicle Rebates]]),PRODUCT(EV_DB[[#This Row],[Cost, $MSRP
CAD]],0.75))</f>
        <v>10000</v>
      </c>
      <c r="AQ7" s="90">
        <f>MIN(MAX(EV_DB[[#This Row],[Federal Rebates (iMHZEV) ]],EV_DB[[#This Row],[NU Vehicle Rebates]]),PRODUCT(EV_DB[[#This Row],[Cost, $MSRP
CAD]],0.75))</f>
        <v>10000</v>
      </c>
      <c r="AR7" s="93">
        <f>MIN(MAX(EV_DB[[#This Row],[Federal Rebates (iMHZEV) ]],EV_DB[[#This Row],[NT Vehicle Rebates]]),PRODUCT(EV_DB[[#This Row],[Cost, $MSRP
CAD]],0.75))</f>
        <v>10000</v>
      </c>
    </row>
    <row r="8" spans="1:46" s="1" customFormat="1" ht="46.5">
      <c r="A8" s="40" t="s">
        <v>315</v>
      </c>
      <c r="B8" s="40" t="s">
        <v>316</v>
      </c>
      <c r="C8" s="90" t="str">
        <f>EV_DB[[#This Row],[Manufacturer  ]]&amp; " " &amp;EV_DB[[#This Row],[Model]]</f>
        <v>Mercedes-Benz  eSprinter (2500)</v>
      </c>
      <c r="D8" s="40" t="s">
        <v>317</v>
      </c>
      <c r="E8" s="40">
        <v>2024</v>
      </c>
      <c r="F8" s="40" t="s">
        <v>295</v>
      </c>
      <c r="G8" s="90" t="str" cm="1">
        <f t="array" ref="G8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Light Duty</v>
      </c>
      <c r="H8" s="40">
        <v>9370</v>
      </c>
      <c r="I8" s="41">
        <v>2623</v>
      </c>
      <c r="J8" s="71">
        <v>99500</v>
      </c>
      <c r="K8" s="92" cm="1">
        <f t="array" ref="K8">_xlfn.IFS(EV_DB[[#This Row],[Category]]="Light Duty",'Maintenance costs table'!$D$4,EV_DB[[#This Row],[Category]]="Medium Duty",'Maintenance costs table'!$D$8,EV_DB[[#This Row],[Category]]="Heavy Duty",'Maintenance costs table'!$D$6)</f>
        <v>0.18</v>
      </c>
      <c r="L8" s="42" t="s">
        <v>17</v>
      </c>
      <c r="M8" s="40" t="s">
        <v>318</v>
      </c>
      <c r="N8" s="40">
        <v>0.23</v>
      </c>
      <c r="O8" s="40" t="s">
        <v>319</v>
      </c>
      <c r="P8" s="40">
        <v>365</v>
      </c>
      <c r="Q8" s="41">
        <v>370</v>
      </c>
      <c r="R8" s="41" cm="1">
        <f t="array" ref="R8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10000</v>
      </c>
      <c r="S8" s="70"/>
      <c r="T8" s="40" cm="1">
        <f t="array" ref="T8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10000</v>
      </c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92">
        <f>MIN(MAX(EV_DB[[#This Row],[Federal Rebates (iMHZEV) ]],EV_DB[[#This Row],[ON Vehicle Rebates]]),PRODUCT(EV_DB[[#This Row],[Cost, $MSRP
CAD]],0.75))</f>
        <v>10000</v>
      </c>
      <c r="AG8" s="90">
        <f>MIN(EV_DB[[#This Row],[Federal Rebates (iMHZEV) ]]+EV_DB[[#This Row],[BC Vehicle Rebates]],PRODUCT(EV_DB[[#This Row],[Cost, $MSRP
CAD]],0.75))</f>
        <v>20000</v>
      </c>
      <c r="AH8" s="90">
        <f>MIN(EV_DB[[#This Row],[Federal Rebates (iMHZEV) ]]+EV_DB[[#This Row],[QC Vehicle Rebates]],PRODUCT(EV_DB[[#This Row],[Cost, $MSRP
CAD]],0.75))</f>
        <v>10000</v>
      </c>
      <c r="AI8" s="90">
        <f>MIN(MAX(EV_DB[[#This Row],[Federal Rebates (iMHZEV) ]],EV_DB[[#This Row],[AB Vehicle Rebates]]),PRODUCT(EV_DB[[#This Row],[Cost, $MSRP
CAD]],0.75))</f>
        <v>10000</v>
      </c>
      <c r="AJ8" s="90">
        <f>MIN(MAX(EV_DB[[#This Row],[Federal Rebates (iMHZEV) ]],EV_DB[[#This Row],[SC Vehicle Rebates]]),PRODUCT(EV_DB[[#This Row],[Cost, $MSRP
CAD]],0.75))</f>
        <v>10000</v>
      </c>
      <c r="AK8" s="90">
        <f>MIN(MAX(EV_DB[[#This Row],[Federal Rebates (iMHZEV) ]],EV_DB[[#This Row],[NS Vehicle Rebates]]),PRODUCT(EV_DB[[#This Row],[Cost, $MSRP
CAD]],0.75))</f>
        <v>10000</v>
      </c>
      <c r="AL8" s="90">
        <f>MIN(MAX(EV_DB[[#This Row],[Federal Rebates (iMHZEV) ]],EV_DB[[#This Row],[NB Vehicle Rebates]]),PRODUCT(EV_DB[[#This Row],[Cost, $MSRP
CAD]],0.75))</f>
        <v>10000</v>
      </c>
      <c r="AM8" s="90">
        <f>MIN(MAX(EV_DB[[#This Row],[Federal Rebates (iMHZEV) ]],EV_DB[[#This Row],[MB Vehicle Rebates]]),PRODUCT(EV_DB[[#This Row],[Cost, $MSRP
CAD]],0.75))</f>
        <v>10000</v>
      </c>
      <c r="AN8" s="90">
        <f>MIN(MAX(EV_DB[[#This Row],[Federal Rebates (iMHZEV) ]],EV_DB[[#This Row],[PEI Vehicle Rebates]]),PRODUCT(EV_DB[[#This Row],[Cost, $MSRP
CAD]],0.75))</f>
        <v>10000</v>
      </c>
      <c r="AO8" s="90">
        <f>MIN(MAX(EV_DB[[#This Row],[Federal Rebates (iMHZEV) ]],EV_DB[[#This Row],[NL Vehicle Rebates]]),PRODUCT(EV_DB[[#This Row],[Cost, $MSRP
CAD]],0.75))</f>
        <v>10000</v>
      </c>
      <c r="AP8" s="90">
        <f>MIN(MAX(EV_DB[[#This Row],[Federal Rebates (iMHZEV) ]]+EV_DB[[#This Row],[YT Vehicle Rebates]]),PRODUCT(EV_DB[[#This Row],[Cost, $MSRP
CAD]],0.75))</f>
        <v>10000</v>
      </c>
      <c r="AQ8" s="94">
        <f>MIN(MAX(EV_DB[[#This Row],[Federal Rebates (iMHZEV) ]],EV_DB[[#This Row],[NU Vehicle Rebates]]),PRODUCT(EV_DB[[#This Row],[Cost, $MSRP
CAD]],0.75))</f>
        <v>10000</v>
      </c>
      <c r="AR8" s="93">
        <f>MIN(MAX(EV_DB[[#This Row],[Federal Rebates (iMHZEV) ]],EV_DB[[#This Row],[NT Vehicle Rebates]]),PRODUCT(EV_DB[[#This Row],[Cost, $MSRP
CAD]],0.75))</f>
        <v>10000</v>
      </c>
      <c r="AS8"/>
    </row>
    <row r="9" spans="1:46" s="1" customFormat="1" ht="62.1">
      <c r="A9" s="40" t="s">
        <v>320</v>
      </c>
      <c r="B9" s="40" t="s">
        <v>321</v>
      </c>
      <c r="C9" s="90" t="str">
        <f>EV_DB[[#This Row],[Manufacturer  ]]&amp; " " &amp;EV_DB[[#This Row],[Model]]</f>
        <v>RAM  ProMaster Van</v>
      </c>
      <c r="D9" s="40" t="s">
        <v>322</v>
      </c>
      <c r="E9" s="40">
        <v>2025</v>
      </c>
      <c r="F9" s="40" t="s">
        <v>295</v>
      </c>
      <c r="G9" s="90" t="str" cm="1">
        <f t="array" ref="G9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Light Duty</v>
      </c>
      <c r="H9" s="40">
        <v>9350</v>
      </c>
      <c r="I9" s="41">
        <v>3020</v>
      </c>
      <c r="J9" s="71">
        <v>119000</v>
      </c>
      <c r="K9" s="92" cm="1">
        <f t="array" ref="K9">_xlfn.IFS(EV_DB[[#This Row],[Category]]="Light Duty",'Maintenance costs table'!$D$4,EV_DB[[#This Row],[Category]]="Medium Duty",'Maintenance costs table'!$D$8,EV_DB[[#This Row],[Category]]="Heavy Duty",'Maintenance costs table'!$D$6)</f>
        <v>0.18</v>
      </c>
      <c r="L9" s="42" t="s">
        <v>17</v>
      </c>
      <c r="M9" s="40" t="s">
        <v>323</v>
      </c>
      <c r="N9" s="40">
        <v>0.24</v>
      </c>
      <c r="O9" s="40" t="s">
        <v>324</v>
      </c>
      <c r="P9" s="40">
        <v>400</v>
      </c>
      <c r="Q9" s="41">
        <v>264</v>
      </c>
      <c r="R9" s="41" cm="1">
        <f t="array" ref="R9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10000</v>
      </c>
      <c r="S9" s="41"/>
      <c r="T9" s="40" cm="1">
        <f t="array" ref="T9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10000</v>
      </c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92">
        <f>MIN(MAX(EV_DB[[#This Row],[Federal Rebates (iMHZEV) ]],EV_DB[[#This Row],[ON Vehicle Rebates]]),PRODUCT(EV_DB[[#This Row],[Cost, $MSRP
CAD]],0.75))</f>
        <v>10000</v>
      </c>
      <c r="AG9" s="90">
        <f>MIN(EV_DB[[#This Row],[Federal Rebates (iMHZEV) ]]+EV_DB[[#This Row],[BC Vehicle Rebates]],PRODUCT(EV_DB[[#This Row],[Cost, $MSRP
CAD]],0.75))</f>
        <v>20000</v>
      </c>
      <c r="AH9" s="90">
        <f>MIN(EV_DB[[#This Row],[Federal Rebates (iMHZEV) ]]+EV_DB[[#This Row],[QC Vehicle Rebates]],PRODUCT(EV_DB[[#This Row],[Cost, $MSRP
CAD]],0.75))</f>
        <v>10000</v>
      </c>
      <c r="AI9" s="90">
        <f>MIN(MAX(EV_DB[[#This Row],[Federal Rebates (iMHZEV) ]],EV_DB[[#This Row],[AB Vehicle Rebates]]),PRODUCT(EV_DB[[#This Row],[Cost, $MSRP
CAD]],0.75))</f>
        <v>10000</v>
      </c>
      <c r="AJ9" s="90">
        <f>MIN(MAX(EV_DB[[#This Row],[Federal Rebates (iMHZEV) ]],EV_DB[[#This Row],[SC Vehicle Rebates]]),PRODUCT(EV_DB[[#This Row],[Cost, $MSRP
CAD]],0.75))</f>
        <v>10000</v>
      </c>
      <c r="AK9" s="90">
        <f>MIN(MAX(EV_DB[[#This Row],[Federal Rebates (iMHZEV) ]],EV_DB[[#This Row],[NS Vehicle Rebates]]),PRODUCT(EV_DB[[#This Row],[Cost, $MSRP
CAD]],0.75))</f>
        <v>10000</v>
      </c>
      <c r="AL9" s="90">
        <f>MIN(MAX(EV_DB[[#This Row],[Federal Rebates (iMHZEV) ]],EV_DB[[#This Row],[NB Vehicle Rebates]]),PRODUCT(EV_DB[[#This Row],[Cost, $MSRP
CAD]],0.75))</f>
        <v>10000</v>
      </c>
      <c r="AM9" s="90">
        <f>MIN(MAX(EV_DB[[#This Row],[Federal Rebates (iMHZEV) ]],EV_DB[[#This Row],[MB Vehicle Rebates]]),PRODUCT(EV_DB[[#This Row],[Cost, $MSRP
CAD]],0.75))</f>
        <v>10000</v>
      </c>
      <c r="AN9" s="90">
        <f>MIN(MAX(EV_DB[[#This Row],[Federal Rebates (iMHZEV) ]],EV_DB[[#This Row],[PEI Vehicle Rebates]]),PRODUCT(EV_DB[[#This Row],[Cost, $MSRP
CAD]],0.75))</f>
        <v>10000</v>
      </c>
      <c r="AO9" s="90">
        <f>MIN(MAX(EV_DB[[#This Row],[Federal Rebates (iMHZEV) ]],EV_DB[[#This Row],[NL Vehicle Rebates]]),PRODUCT(EV_DB[[#This Row],[Cost, $MSRP
CAD]],0.75))</f>
        <v>10000</v>
      </c>
      <c r="AP9" s="90">
        <f>MIN(MAX(EV_DB[[#This Row],[Federal Rebates (iMHZEV) ]]+EV_DB[[#This Row],[YT Vehicle Rebates]]),PRODUCT(EV_DB[[#This Row],[Cost, $MSRP
CAD]],0.75))</f>
        <v>10000</v>
      </c>
      <c r="AQ9" s="90">
        <f>MIN(MAX(EV_DB[[#This Row],[Federal Rebates (iMHZEV) ]],EV_DB[[#This Row],[NU Vehicle Rebates]]),PRODUCT(EV_DB[[#This Row],[Cost, $MSRP
CAD]],0.75))</f>
        <v>10000</v>
      </c>
      <c r="AR9" s="93">
        <f>MIN(MAX(EV_DB[[#This Row],[Federal Rebates (iMHZEV) ]],EV_DB[[#This Row],[NT Vehicle Rebates]]),PRODUCT(EV_DB[[#This Row],[Cost, $MSRP
CAD]],0.75))</f>
        <v>10000</v>
      </c>
    </row>
    <row r="10" spans="1:46" s="1" customFormat="1" ht="58.15" customHeight="1">
      <c r="A10" s="40" t="s">
        <v>325</v>
      </c>
      <c r="B10" s="40" t="s">
        <v>326</v>
      </c>
      <c r="C10" s="90" t="str">
        <f>EV_DB[[#This Row],[Manufacturer  ]]&amp; " " &amp;EV_DB[[#This Row],[Model]]</f>
        <v>Rivian R1T Dual</v>
      </c>
      <c r="D10" s="40" t="s">
        <v>294</v>
      </c>
      <c r="E10" s="40">
        <v>2025</v>
      </c>
      <c r="F10" s="40">
        <v>3</v>
      </c>
      <c r="G10" s="90" t="str" cm="1">
        <f t="array" ref="G10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Light Duty</v>
      </c>
      <c r="H10" s="40">
        <v>8532</v>
      </c>
      <c r="I10" s="41">
        <v>1764</v>
      </c>
      <c r="J10" s="71">
        <v>77900</v>
      </c>
      <c r="K10" s="92" cm="1">
        <f t="array" ref="K10">_xlfn.IFS(EV_DB[[#This Row],[Category]]="Light Duty",'Maintenance costs table'!$D$4,EV_DB[[#This Row],[Category]]="Medium Duty",'Maintenance costs table'!$D$8,EV_DB[[#This Row],[Category]]="Heavy Duty",'Maintenance costs table'!$D$6)</f>
        <v>0.18</v>
      </c>
      <c r="L10" s="85" t="s">
        <v>17</v>
      </c>
      <c r="M10" s="40" t="s">
        <v>327</v>
      </c>
      <c r="N10" s="40">
        <v>0.254</v>
      </c>
      <c r="O10" s="40"/>
      <c r="P10" s="40"/>
      <c r="Q10" s="41">
        <v>530</v>
      </c>
      <c r="R10" s="41" cm="1">
        <f t="array" ref="R10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40000</v>
      </c>
      <c r="S10" s="41"/>
      <c r="T10" s="40" cm="1">
        <f t="array" ref="T10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55000</v>
      </c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90">
        <f>MIN(MAX(EV_DB[[#This Row],[Federal Rebates (iMHZEV) ]],EV_DB[[#This Row],[ON Vehicle Rebates]]),PRODUCT(EV_DB[[#This Row],[Cost, $MSRP
CAD]],0.75))</f>
        <v>40000</v>
      </c>
      <c r="AG10" s="90">
        <f>MIN(EV_DB[[#This Row],[Federal Rebates (iMHZEV) ]]+EV_DB[[#This Row],[BC Vehicle Rebates]],PRODUCT(EV_DB[[#This Row],[Cost, $MSRP
CAD]],0.75))</f>
        <v>58425</v>
      </c>
      <c r="AH10" s="90">
        <f>MIN(EV_DB[[#This Row],[Federal Rebates (iMHZEV) ]]+EV_DB[[#This Row],[QC Vehicle Rebates]],PRODUCT(EV_DB[[#This Row],[Cost, $MSRP
CAD]],0.75))</f>
        <v>40000</v>
      </c>
      <c r="AI10" s="90">
        <f>MIN(MAX(EV_DB[[#This Row],[Federal Rebates (iMHZEV) ]],EV_DB[[#This Row],[AB Vehicle Rebates]]),PRODUCT(EV_DB[[#This Row],[Cost, $MSRP
CAD]],0.75))</f>
        <v>40000</v>
      </c>
      <c r="AJ10" s="90">
        <f>MIN(MAX(EV_DB[[#This Row],[Federal Rebates (iMHZEV) ]],EV_DB[[#This Row],[SC Vehicle Rebates]]),PRODUCT(EV_DB[[#This Row],[Cost, $MSRP
CAD]],0.75))</f>
        <v>40000</v>
      </c>
      <c r="AK10" s="90">
        <f>MIN(MAX(EV_DB[[#This Row],[Federal Rebates (iMHZEV) ]],EV_DB[[#This Row],[NS Vehicle Rebates]]),PRODUCT(EV_DB[[#This Row],[Cost, $MSRP
CAD]],0.75))</f>
        <v>40000</v>
      </c>
      <c r="AL10" s="90">
        <f>MIN(MAX(EV_DB[[#This Row],[Federal Rebates (iMHZEV) ]],EV_DB[[#This Row],[NB Vehicle Rebates]]),PRODUCT(EV_DB[[#This Row],[Cost, $MSRP
CAD]],0.75))</f>
        <v>40000</v>
      </c>
      <c r="AM10" s="90">
        <f>MIN(MAX(EV_DB[[#This Row],[Federal Rebates (iMHZEV) ]],EV_DB[[#This Row],[MB Vehicle Rebates]]),PRODUCT(EV_DB[[#This Row],[Cost, $MSRP
CAD]],0.75))</f>
        <v>40000</v>
      </c>
      <c r="AN10" s="90">
        <f>MIN(MAX(EV_DB[[#This Row],[Federal Rebates (iMHZEV) ]],EV_DB[[#This Row],[PEI Vehicle Rebates]]),PRODUCT(EV_DB[[#This Row],[Cost, $MSRP
CAD]],0.75))</f>
        <v>40000</v>
      </c>
      <c r="AO10" s="90">
        <f>MIN(MAX(EV_DB[[#This Row],[Federal Rebates (iMHZEV) ]],EV_DB[[#This Row],[NL Vehicle Rebates]]),PRODUCT(EV_DB[[#This Row],[Cost, $MSRP
CAD]],0.75))</f>
        <v>40000</v>
      </c>
      <c r="AP10" s="90">
        <f>MIN(MAX(EV_DB[[#This Row],[Federal Rebates (iMHZEV) ]]+EV_DB[[#This Row],[YT Vehicle Rebates]]),PRODUCT(EV_DB[[#This Row],[Cost, $MSRP
CAD]],0.75))</f>
        <v>40000</v>
      </c>
      <c r="AQ10" s="90">
        <f>MIN(MAX(EV_DB[[#This Row],[Federal Rebates (iMHZEV) ]],EV_DB[[#This Row],[NU Vehicle Rebates]]),PRODUCT(EV_DB[[#This Row],[Cost, $MSRP
CAD]],0.75))</f>
        <v>40000</v>
      </c>
      <c r="AR10" s="93">
        <f>MIN(MAX(EV_DB[[#This Row],[Federal Rebates (iMHZEV) ]],EV_DB[[#This Row],[NT Vehicle Rebates]]),PRODUCT(EV_DB[[#This Row],[Cost, $MSRP
CAD]],0.75))</f>
        <v>40000</v>
      </c>
    </row>
    <row r="11" spans="1:46" s="1" customFormat="1" ht="62.1">
      <c r="A11" s="40" t="s">
        <v>328</v>
      </c>
      <c r="B11" s="40" t="s">
        <v>329</v>
      </c>
      <c r="C11" s="90" t="str">
        <f>EV_DB[[#This Row],[Manufacturer  ]]&amp; " " &amp;EV_DB[[#This Row],[Model]]</f>
        <v>Ford E-Transit</v>
      </c>
      <c r="D11" s="40" t="s">
        <v>330</v>
      </c>
      <c r="E11" s="40">
        <v>2024</v>
      </c>
      <c r="F11" s="40" t="s">
        <v>295</v>
      </c>
      <c r="G11" s="90" t="str" cm="1">
        <f t="array" ref="G11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Light Duty</v>
      </c>
      <c r="H11" s="40" t="s">
        <v>331</v>
      </c>
      <c r="I11" s="41">
        <v>3776</v>
      </c>
      <c r="J11" s="71">
        <v>68705</v>
      </c>
      <c r="K11" s="92" cm="1">
        <f t="array" ref="K11">_xlfn.IFS(EV_DB[[#This Row],[Category]]="Light Duty",'Maintenance costs table'!$D$4,EV_DB[[#This Row],[Category]]="Medium Duty",'Maintenance costs table'!$D$8,EV_DB[[#This Row],[Category]]="Heavy Duty",'Maintenance costs table'!$D$6)</f>
        <v>0.18</v>
      </c>
      <c r="L11" s="42" t="s">
        <v>17</v>
      </c>
      <c r="M11" s="40" t="s">
        <v>332</v>
      </c>
      <c r="N11" s="43">
        <v>0.22</v>
      </c>
      <c r="O11" s="40" t="s">
        <v>333</v>
      </c>
      <c r="P11" s="40"/>
      <c r="Q11" s="41">
        <v>254</v>
      </c>
      <c r="R11" s="41" cm="1">
        <f t="array" ref="R11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10000</v>
      </c>
      <c r="S11" s="70"/>
      <c r="T11" s="40" cm="1">
        <f t="array" ref="T11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10000</v>
      </c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92">
        <f>MIN(MAX(EV_DB[[#This Row],[Federal Rebates (iMHZEV) ]],EV_DB[[#This Row],[ON Vehicle Rebates]]),PRODUCT(EV_DB[[#This Row],[Cost, $MSRP
CAD]],0.75))</f>
        <v>10000</v>
      </c>
      <c r="AG11" s="90">
        <f>MIN(EV_DB[[#This Row],[Federal Rebates (iMHZEV) ]]+EV_DB[[#This Row],[BC Vehicle Rebates]],PRODUCT(EV_DB[[#This Row],[Cost, $MSRP
CAD]],0.75))</f>
        <v>20000</v>
      </c>
      <c r="AH11" s="90">
        <f>MIN(EV_DB[[#This Row],[Federal Rebates (iMHZEV) ]]+EV_DB[[#This Row],[QC Vehicle Rebates]],PRODUCT(EV_DB[[#This Row],[Cost, $MSRP
CAD]],0.75))</f>
        <v>10000</v>
      </c>
      <c r="AI11" s="90">
        <f>MIN(MAX(EV_DB[[#This Row],[Federal Rebates (iMHZEV) ]],EV_DB[[#This Row],[AB Vehicle Rebates]]),PRODUCT(EV_DB[[#This Row],[Cost, $MSRP
CAD]],0.75))</f>
        <v>10000</v>
      </c>
      <c r="AJ11" s="94">
        <f>MIN(MAX(EV_DB[[#This Row],[Federal Rebates (iMHZEV) ]],EV_DB[[#This Row],[SC Vehicle Rebates]]),PRODUCT(EV_DB[[#This Row],[Cost, $MSRP
CAD]],0.75))</f>
        <v>10000</v>
      </c>
      <c r="AK11" s="90">
        <f>MIN(MAX(EV_DB[[#This Row],[Federal Rebates (iMHZEV) ]],EV_DB[[#This Row],[NS Vehicle Rebates]]),PRODUCT(EV_DB[[#This Row],[Cost, $MSRP
CAD]],0.75))</f>
        <v>10000</v>
      </c>
      <c r="AL11" s="90">
        <f>MIN(MAX(EV_DB[[#This Row],[Federal Rebates (iMHZEV) ]],EV_DB[[#This Row],[NB Vehicle Rebates]]),PRODUCT(EV_DB[[#This Row],[Cost, $MSRP
CAD]],0.75))</f>
        <v>10000</v>
      </c>
      <c r="AM11" s="90">
        <f>MIN(MAX(EV_DB[[#This Row],[Federal Rebates (iMHZEV) ]],EV_DB[[#This Row],[MB Vehicle Rebates]]),PRODUCT(EV_DB[[#This Row],[Cost, $MSRP
CAD]],0.75))</f>
        <v>10000</v>
      </c>
      <c r="AN11" s="90">
        <f>MIN(MAX(EV_DB[[#This Row],[Federal Rebates (iMHZEV) ]],EV_DB[[#This Row],[PEI Vehicle Rebates]]),PRODUCT(EV_DB[[#This Row],[Cost, $MSRP
CAD]],0.75))</f>
        <v>10000</v>
      </c>
      <c r="AO11" s="90">
        <f>MIN(MAX(EV_DB[[#This Row],[Federal Rebates (iMHZEV) ]],EV_DB[[#This Row],[NL Vehicle Rebates]]),PRODUCT(EV_DB[[#This Row],[Cost, $MSRP
CAD]],0.75))</f>
        <v>10000</v>
      </c>
      <c r="AP11" s="90">
        <f>MIN(MAX(EV_DB[[#This Row],[Federal Rebates (iMHZEV) ]]+EV_DB[[#This Row],[YT Vehicle Rebates]]),PRODUCT(EV_DB[[#This Row],[Cost, $MSRP
CAD]],0.75))</f>
        <v>10000</v>
      </c>
      <c r="AQ11" s="90">
        <f>MIN(MAX(EV_DB[[#This Row],[Federal Rebates (iMHZEV) ]],EV_DB[[#This Row],[NU Vehicle Rebates]]),PRODUCT(EV_DB[[#This Row],[Cost, $MSRP
CAD]],0.75))</f>
        <v>10000</v>
      </c>
      <c r="AR11" s="93">
        <f>MIN(MAX(EV_DB[[#This Row],[Federal Rebates (iMHZEV) ]],EV_DB[[#This Row],[NT Vehicle Rebates]]),PRODUCT(EV_DB[[#This Row],[Cost, $MSRP
CAD]],0.75))</f>
        <v>10000</v>
      </c>
      <c r="AT11" s="76"/>
    </row>
    <row r="12" spans="1:46" s="180" customFormat="1" ht="15.6">
      <c r="A12" s="170" t="s">
        <v>334</v>
      </c>
      <c r="B12" s="170" t="s">
        <v>335</v>
      </c>
      <c r="C12" s="171" t="str">
        <f>EV_DB[[#This Row],[Manufacturer  ]]&amp; " " &amp;EV_DB[[#This Row],[Model]]</f>
        <v>GM (Brightdrop)  EV410</v>
      </c>
      <c r="D12" s="170" t="s">
        <v>336</v>
      </c>
      <c r="E12" s="170">
        <v>2024</v>
      </c>
      <c r="F12" s="170" t="s">
        <v>295</v>
      </c>
      <c r="G12" s="171" t="str" cm="1">
        <f t="array" ref="G12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Light Duty</v>
      </c>
      <c r="H12" s="170">
        <v>9900</v>
      </c>
      <c r="I12" s="172">
        <v>2200</v>
      </c>
      <c r="J12" s="173">
        <v>118650</v>
      </c>
      <c r="K12" s="174" cm="1">
        <f t="array" ref="K12">_xlfn.IFS(EV_DB[[#This Row],[Category]]="Light Duty",'Maintenance costs table'!$D$4,EV_DB[[#This Row],[Category]]="Medium Duty",'Maintenance costs table'!$D$8,EV_DB[[#This Row],[Category]]="Heavy Duty",'Maintenance costs table'!$D$6)</f>
        <v>0.18</v>
      </c>
      <c r="L12" s="175" t="s">
        <v>17</v>
      </c>
      <c r="M12" s="170" t="s">
        <v>337</v>
      </c>
      <c r="N12" s="170">
        <v>0.25</v>
      </c>
      <c r="O12" s="176"/>
      <c r="P12" s="170"/>
      <c r="Q12" s="172">
        <v>400</v>
      </c>
      <c r="R12" s="172">
        <v>40000</v>
      </c>
      <c r="S12" s="177"/>
      <c r="T12" s="170">
        <v>39546</v>
      </c>
      <c r="U12" s="170"/>
      <c r="V12" s="170"/>
      <c r="W12" s="170"/>
      <c r="X12" s="170"/>
      <c r="Y12" s="170"/>
      <c r="Z12" s="170"/>
      <c r="AA12" s="170"/>
      <c r="AB12" s="170"/>
      <c r="AC12" s="170"/>
      <c r="AD12" s="170"/>
      <c r="AE12" s="170"/>
      <c r="AF12" s="174">
        <f>MIN(MAX(EV_DB[[#This Row],[Federal Rebates (iMHZEV) ]],EV_DB[[#This Row],[ON Vehicle Rebates]]),PRODUCT(EV_DB[[#This Row],[Cost, $MSRP
CAD]],0.75))</f>
        <v>40000</v>
      </c>
      <c r="AG12" s="171">
        <f>MIN(EV_DB[[#This Row],[Federal Rebates (iMHZEV) ]]+EV_DB[[#This Row],[BC Vehicle Rebates]],PRODUCT(EV_DB[[#This Row],[Cost, $MSRP
CAD]],0.75))</f>
        <v>79546</v>
      </c>
      <c r="AH12" s="171">
        <f>MIN(EV_DB[[#This Row],[Federal Rebates (iMHZEV) ]]+EV_DB[[#This Row],[QC Vehicle Rebates]],PRODUCT(EV_DB[[#This Row],[Cost, $MSRP
CAD]],0.75))</f>
        <v>40000</v>
      </c>
      <c r="AI12" s="171">
        <f>MIN(MAX(EV_DB[[#This Row],[Federal Rebates (iMHZEV) ]],EV_DB[[#This Row],[AB Vehicle Rebates]]),PRODUCT(EV_DB[[#This Row],[Cost, $MSRP
CAD]],0.75))</f>
        <v>40000</v>
      </c>
      <c r="AJ12" s="178">
        <f>MIN(MAX(EV_DB[[#This Row],[Federal Rebates (iMHZEV) ]],EV_DB[[#This Row],[SC Vehicle Rebates]]),PRODUCT(EV_DB[[#This Row],[Cost, $MSRP
CAD]],0.75))</f>
        <v>40000</v>
      </c>
      <c r="AK12" s="171">
        <f>MIN(MAX(EV_DB[[#This Row],[Federal Rebates (iMHZEV) ]],EV_DB[[#This Row],[NS Vehicle Rebates]]),PRODUCT(EV_DB[[#This Row],[Cost, $MSRP
CAD]],0.75))</f>
        <v>40000</v>
      </c>
      <c r="AL12" s="171">
        <f>MIN(MAX(EV_DB[[#This Row],[Federal Rebates (iMHZEV) ]],EV_DB[[#This Row],[NB Vehicle Rebates]]),PRODUCT(EV_DB[[#This Row],[Cost, $MSRP
CAD]],0.75))</f>
        <v>40000</v>
      </c>
      <c r="AM12" s="171">
        <f>MIN(MAX(EV_DB[[#This Row],[Federal Rebates (iMHZEV) ]],EV_DB[[#This Row],[MB Vehicle Rebates]]),PRODUCT(EV_DB[[#This Row],[Cost, $MSRP
CAD]],0.75))</f>
        <v>40000</v>
      </c>
      <c r="AN12" s="171">
        <f>MIN(MAX(EV_DB[[#This Row],[Federal Rebates (iMHZEV) ]],EV_DB[[#This Row],[PEI Vehicle Rebates]]),PRODUCT(EV_DB[[#This Row],[Cost, $MSRP
CAD]],0.75))</f>
        <v>40000</v>
      </c>
      <c r="AO12" s="171">
        <f>MIN(MAX(EV_DB[[#This Row],[Federal Rebates (iMHZEV) ]],EV_DB[[#This Row],[NL Vehicle Rebates]]),PRODUCT(EV_DB[[#This Row],[Cost, $MSRP
CAD]],0.75))</f>
        <v>40000</v>
      </c>
      <c r="AP12" s="171">
        <f>MIN(MAX(EV_DB[[#This Row],[Federal Rebates (iMHZEV) ]]+EV_DB[[#This Row],[YT Vehicle Rebates]]),PRODUCT(EV_DB[[#This Row],[Cost, $MSRP
CAD]],0.75))</f>
        <v>40000</v>
      </c>
      <c r="AQ12" s="171">
        <f>MIN(MAX(EV_DB[[#This Row],[Federal Rebates (iMHZEV) ]],EV_DB[[#This Row],[NU Vehicle Rebates]]),PRODUCT(EV_DB[[#This Row],[Cost, $MSRP
CAD]],0.75))</f>
        <v>40000</v>
      </c>
      <c r="AR12" s="179">
        <f>MIN(MAX(EV_DB[[#This Row],[Federal Rebates (iMHZEV) ]],EV_DB[[#This Row],[NT Vehicle Rebates]]),PRODUCT(EV_DB[[#This Row],[Cost, $MSRP
CAD]],0.75))</f>
        <v>40000</v>
      </c>
    </row>
    <row r="13" spans="1:46" s="180" customFormat="1" ht="15.6">
      <c r="A13" s="170" t="s">
        <v>338</v>
      </c>
      <c r="B13" s="170" t="s">
        <v>339</v>
      </c>
      <c r="C13" s="171" t="str">
        <f>EV_DB[[#This Row],[Manufacturer  ]]&amp; " " &amp;EV_DB[[#This Row],[Model]]</f>
        <v>GM (Brightdrop)   EV600</v>
      </c>
      <c r="D13" s="170" t="s">
        <v>336</v>
      </c>
      <c r="E13" s="170">
        <v>2024</v>
      </c>
      <c r="F13" s="170">
        <v>3</v>
      </c>
      <c r="G13" s="171" t="str" cm="1">
        <f t="array" ref="G13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Light Duty</v>
      </c>
      <c r="H13" s="181">
        <v>11000</v>
      </c>
      <c r="I13" s="172">
        <v>2200</v>
      </c>
      <c r="J13" s="173">
        <v>136615</v>
      </c>
      <c r="K13" s="174" cm="1">
        <f t="array" ref="K13">_xlfn.IFS(EV_DB[[#This Row],[Category]]="Light Duty",'Maintenance costs table'!$D$4,EV_DB[[#This Row],[Category]]="Medium Duty",'Maintenance costs table'!$D$8,EV_DB[[#This Row],[Category]]="Heavy Duty",'Maintenance costs table'!$D$6)</f>
        <v>0.18</v>
      </c>
      <c r="L13" s="175" t="s">
        <v>17</v>
      </c>
      <c r="M13" s="170" t="s">
        <v>337</v>
      </c>
      <c r="N13" s="172">
        <v>0.28000000000000003</v>
      </c>
      <c r="O13" s="176"/>
      <c r="P13" s="170"/>
      <c r="Q13" s="172">
        <v>400</v>
      </c>
      <c r="R13" s="172" cm="1">
        <f t="array" ref="R13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40000</v>
      </c>
      <c r="S13" s="177"/>
      <c r="T13" s="170" cm="1">
        <f t="array" ref="T13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55000</v>
      </c>
      <c r="U13" s="170"/>
      <c r="V13" s="170"/>
      <c r="W13" s="170"/>
      <c r="X13" s="170"/>
      <c r="Y13" s="170"/>
      <c r="Z13" s="170"/>
      <c r="AA13" s="170"/>
      <c r="AB13" s="170"/>
      <c r="AC13" s="170"/>
      <c r="AD13" s="170"/>
      <c r="AE13" s="170"/>
      <c r="AF13" s="174">
        <f>MIN(MAX(EV_DB[[#This Row],[Federal Rebates (iMHZEV) ]],EV_DB[[#This Row],[ON Vehicle Rebates]]),PRODUCT(EV_DB[[#This Row],[Cost, $MSRP
CAD]],0.75))</f>
        <v>40000</v>
      </c>
      <c r="AG13" s="171">
        <f>MIN(EV_DB[[#This Row],[Federal Rebates (iMHZEV) ]]+EV_DB[[#This Row],[BC Vehicle Rebates]],PRODUCT(EV_DB[[#This Row],[Cost, $MSRP
CAD]],0.75))</f>
        <v>95000</v>
      </c>
      <c r="AH13" s="171">
        <f>MIN(EV_DB[[#This Row],[Federal Rebates (iMHZEV) ]]+EV_DB[[#This Row],[QC Vehicle Rebates]],PRODUCT(EV_DB[[#This Row],[Cost, $MSRP
CAD]],0.75))</f>
        <v>40000</v>
      </c>
      <c r="AI13" s="171">
        <f>MIN(MAX(EV_DB[[#This Row],[Federal Rebates (iMHZEV) ]],EV_DB[[#This Row],[AB Vehicle Rebates]]),PRODUCT(EV_DB[[#This Row],[Cost, $MSRP
CAD]],0.75))</f>
        <v>40000</v>
      </c>
      <c r="AJ13" s="178">
        <f>MIN(MAX(EV_DB[[#This Row],[Federal Rebates (iMHZEV) ]],EV_DB[[#This Row],[SC Vehicle Rebates]]),PRODUCT(EV_DB[[#This Row],[Cost, $MSRP
CAD]],0.75))</f>
        <v>40000</v>
      </c>
      <c r="AK13" s="171">
        <f>MIN(MAX(EV_DB[[#This Row],[Federal Rebates (iMHZEV) ]],EV_DB[[#This Row],[NS Vehicle Rebates]]),PRODUCT(EV_DB[[#This Row],[Cost, $MSRP
CAD]],0.75))</f>
        <v>40000</v>
      </c>
      <c r="AL13" s="171">
        <f>MIN(MAX(EV_DB[[#This Row],[Federal Rebates (iMHZEV) ]],EV_DB[[#This Row],[NB Vehicle Rebates]]),PRODUCT(EV_DB[[#This Row],[Cost, $MSRP
CAD]],0.75))</f>
        <v>40000</v>
      </c>
      <c r="AM13" s="171">
        <f>MIN(MAX(EV_DB[[#This Row],[Federal Rebates (iMHZEV) ]],EV_DB[[#This Row],[MB Vehicle Rebates]]),PRODUCT(EV_DB[[#This Row],[Cost, $MSRP
CAD]],0.75))</f>
        <v>40000</v>
      </c>
      <c r="AN13" s="171">
        <f>MIN(MAX(EV_DB[[#This Row],[Federal Rebates (iMHZEV) ]],EV_DB[[#This Row],[PEI Vehicle Rebates]]),PRODUCT(EV_DB[[#This Row],[Cost, $MSRP
CAD]],0.75))</f>
        <v>40000</v>
      </c>
      <c r="AO13" s="171">
        <f>MIN(MAX(EV_DB[[#This Row],[Federal Rebates (iMHZEV) ]],EV_DB[[#This Row],[NL Vehicle Rebates]]),PRODUCT(EV_DB[[#This Row],[Cost, $MSRP
CAD]],0.75))</f>
        <v>40000</v>
      </c>
      <c r="AP13" s="171">
        <f>MIN(MAX(EV_DB[[#This Row],[Federal Rebates (iMHZEV) ]]+EV_DB[[#This Row],[YT Vehicle Rebates]]),PRODUCT(EV_DB[[#This Row],[Cost, $MSRP
CAD]],0.75))</f>
        <v>40000</v>
      </c>
      <c r="AQ13" s="178">
        <f>MIN(MAX(EV_DB[[#This Row],[Federal Rebates (iMHZEV) ]],EV_DB[[#This Row],[NU Vehicle Rebates]]),PRODUCT(EV_DB[[#This Row],[Cost, $MSRP
CAD]],0.75))</f>
        <v>40000</v>
      </c>
      <c r="AR13" s="179">
        <f>MIN(MAX(EV_DB[[#This Row],[Federal Rebates (iMHZEV) ]],EV_DB[[#This Row],[NT Vehicle Rebates]]),PRODUCT(EV_DB[[#This Row],[Cost, $MSRP
CAD]],0.75))</f>
        <v>40000</v>
      </c>
    </row>
    <row r="14" spans="1:46" s="1" customFormat="1" ht="15.6">
      <c r="A14" s="40" t="s">
        <v>340</v>
      </c>
      <c r="B14" s="40" t="s">
        <v>341</v>
      </c>
      <c r="C14" s="90" t="str">
        <f>EV_DB[[#This Row],[Manufacturer  ]]&amp; " " &amp;EV_DB[[#This Row],[Model]]</f>
        <v>Canoo LDV 190</v>
      </c>
      <c r="D14" s="40" t="s">
        <v>336</v>
      </c>
      <c r="E14" s="40">
        <v>2024</v>
      </c>
      <c r="F14" s="40" t="s">
        <v>295</v>
      </c>
      <c r="G14" s="90" t="str" cm="1">
        <f t="array" ref="G14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Light Duty</v>
      </c>
      <c r="H14" s="40">
        <v>6525</v>
      </c>
      <c r="I14" s="41">
        <v>1763</v>
      </c>
      <c r="J14" s="71">
        <v>43000</v>
      </c>
      <c r="K14" s="92" cm="1">
        <f t="array" ref="K14">_xlfn.IFS(EV_DB[[#This Row],[Category]]="Light Duty",'Maintenance costs table'!$D$4,EV_DB[[#This Row],[Category]]="Medium Duty",'Maintenance costs table'!$D$8,EV_DB[[#This Row],[Category]]="Heavy Duty",'Maintenance costs table'!$D$6)</f>
        <v>0.18</v>
      </c>
      <c r="L14" s="42" t="s">
        <v>17</v>
      </c>
      <c r="M14" s="40" t="s">
        <v>342</v>
      </c>
      <c r="N14" s="40">
        <v>0.24</v>
      </c>
      <c r="O14" s="44"/>
      <c r="P14" s="40"/>
      <c r="Q14" s="41">
        <v>321</v>
      </c>
      <c r="R14" s="41" cm="1">
        <f t="array" ref="R14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10000</v>
      </c>
      <c r="S14" s="70"/>
      <c r="T14" s="40" cm="1">
        <f t="array" ref="T14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10000</v>
      </c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92">
        <f>MIN(MAX(EV_DB[[#This Row],[Federal Rebates (iMHZEV) ]],EV_DB[[#This Row],[ON Vehicle Rebates]]),PRODUCT(EV_DB[[#This Row],[Cost, $MSRP
CAD]],0.75))</f>
        <v>10000</v>
      </c>
      <c r="AG14" s="90">
        <f>MIN(EV_DB[[#This Row],[Federal Rebates (iMHZEV) ]]+EV_DB[[#This Row],[BC Vehicle Rebates]],PRODUCT(EV_DB[[#This Row],[Cost, $MSRP
CAD]],0.75))</f>
        <v>20000</v>
      </c>
      <c r="AH14" s="90">
        <f>MIN(EV_DB[[#This Row],[Federal Rebates (iMHZEV) ]]+EV_DB[[#This Row],[QC Vehicle Rebates]],PRODUCT(EV_DB[[#This Row],[Cost, $MSRP
CAD]],0.75))</f>
        <v>10000</v>
      </c>
      <c r="AI14" s="90">
        <f>MIN(MAX(EV_DB[[#This Row],[Federal Rebates (iMHZEV) ]],EV_DB[[#This Row],[AB Vehicle Rebates]]),PRODUCT(EV_DB[[#This Row],[Cost, $MSRP
CAD]],0.75))</f>
        <v>10000</v>
      </c>
      <c r="AJ14" s="90">
        <f>MIN(MAX(EV_DB[[#This Row],[Federal Rebates (iMHZEV) ]],EV_DB[[#This Row],[SC Vehicle Rebates]]),PRODUCT(EV_DB[[#This Row],[Cost, $MSRP
CAD]],0.75))</f>
        <v>10000</v>
      </c>
      <c r="AK14" s="90">
        <f>MIN(MAX(EV_DB[[#This Row],[Federal Rebates (iMHZEV) ]],EV_DB[[#This Row],[NS Vehicle Rebates]]),PRODUCT(EV_DB[[#This Row],[Cost, $MSRP
CAD]],0.75))</f>
        <v>10000</v>
      </c>
      <c r="AL14" s="90">
        <f>MIN(MAX(EV_DB[[#This Row],[Federal Rebates (iMHZEV) ]],EV_DB[[#This Row],[NB Vehicle Rebates]]),PRODUCT(EV_DB[[#This Row],[Cost, $MSRP
CAD]],0.75))</f>
        <v>10000</v>
      </c>
      <c r="AM14" s="90">
        <f>MIN(MAX(EV_DB[[#This Row],[Federal Rebates (iMHZEV) ]],EV_DB[[#This Row],[MB Vehicle Rebates]]),PRODUCT(EV_DB[[#This Row],[Cost, $MSRP
CAD]],0.75))</f>
        <v>10000</v>
      </c>
      <c r="AN14" s="90">
        <f>MIN(MAX(EV_DB[[#This Row],[Federal Rebates (iMHZEV) ]],EV_DB[[#This Row],[PEI Vehicle Rebates]]),PRODUCT(EV_DB[[#This Row],[Cost, $MSRP
CAD]],0.75))</f>
        <v>10000</v>
      </c>
      <c r="AO14" s="90">
        <f>MIN(MAX(EV_DB[[#This Row],[Federal Rebates (iMHZEV) ]],EV_DB[[#This Row],[NL Vehicle Rebates]]),PRODUCT(EV_DB[[#This Row],[Cost, $MSRP
CAD]],0.75))</f>
        <v>10000</v>
      </c>
      <c r="AP14" s="90">
        <f>MIN(MAX(EV_DB[[#This Row],[Federal Rebates (iMHZEV) ]]+EV_DB[[#This Row],[YT Vehicle Rebates]]),PRODUCT(EV_DB[[#This Row],[Cost, $MSRP
CAD]],0.75))</f>
        <v>10000</v>
      </c>
      <c r="AQ14" s="94">
        <f>MIN(MAX(EV_DB[[#This Row],[Federal Rebates (iMHZEV) ]],EV_DB[[#This Row],[NU Vehicle Rebates]]),PRODUCT(EV_DB[[#This Row],[Cost, $MSRP
CAD]],0.75))</f>
        <v>10000</v>
      </c>
      <c r="AR14" s="93">
        <f>MIN(MAX(EV_DB[[#This Row],[Federal Rebates (iMHZEV) ]],EV_DB[[#This Row],[NT Vehicle Rebates]]),PRODUCT(EV_DB[[#This Row],[Cost, $MSRP
CAD]],0.75))</f>
        <v>10000</v>
      </c>
    </row>
    <row r="15" spans="1:46" s="1" customFormat="1" ht="15.6">
      <c r="A15" s="40" t="s">
        <v>340</v>
      </c>
      <c r="B15" s="40" t="s">
        <v>343</v>
      </c>
      <c r="C15" s="90" t="str">
        <f>EV_DB[[#This Row],[Manufacturer  ]]&amp; " " &amp;EV_DB[[#This Row],[Model]]</f>
        <v>Canoo  LDV 130</v>
      </c>
      <c r="D15" s="40" t="s">
        <v>344</v>
      </c>
      <c r="E15" s="40">
        <v>2024</v>
      </c>
      <c r="F15" s="40" t="s">
        <v>295</v>
      </c>
      <c r="G15" s="90" t="str" cm="1">
        <f t="array" ref="G15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Light Duty</v>
      </c>
      <c r="H15" s="40">
        <v>6525</v>
      </c>
      <c r="I15" s="41">
        <v>1763</v>
      </c>
      <c r="J15" s="71">
        <v>43000</v>
      </c>
      <c r="K15" s="92" cm="1">
        <f t="array" ref="K15">_xlfn.IFS(EV_DB[[#This Row],[Category]]="Light Duty",'Maintenance costs table'!$D$4,EV_DB[[#This Row],[Category]]="Medium Duty",'Maintenance costs table'!$D$8,EV_DB[[#This Row],[Category]]="Heavy Duty",'Maintenance costs table'!$D$6)</f>
        <v>0.18</v>
      </c>
      <c r="L15" s="42" t="s">
        <v>17</v>
      </c>
      <c r="M15" s="40" t="s">
        <v>345</v>
      </c>
      <c r="N15" s="40">
        <v>0.24</v>
      </c>
      <c r="O15" s="40"/>
      <c r="P15" s="40"/>
      <c r="Q15" s="41">
        <v>321</v>
      </c>
      <c r="R15" s="41" cm="1">
        <f t="array" ref="R15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10000</v>
      </c>
      <c r="S15" s="41"/>
      <c r="T15" s="40" cm="1">
        <f t="array" ref="T15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10000</v>
      </c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95">
        <f>MIN(MAX(EV_DB[[#This Row],[Federal Rebates (iMHZEV) ]],EV_DB[[#This Row],[ON Vehicle Rebates]]),PRODUCT(EV_DB[[#This Row],[Cost, $MSRP
CAD]],0.75))</f>
        <v>10000</v>
      </c>
      <c r="AG15" s="90">
        <f>MIN(EV_DB[[#This Row],[Federal Rebates (iMHZEV) ]]+EV_DB[[#This Row],[BC Vehicle Rebates]],PRODUCT(EV_DB[[#This Row],[Cost, $MSRP
CAD]],0.75))</f>
        <v>20000</v>
      </c>
      <c r="AH15" s="90">
        <f>MIN(EV_DB[[#This Row],[Federal Rebates (iMHZEV) ]]+EV_DB[[#This Row],[QC Vehicle Rebates]],PRODUCT(EV_DB[[#This Row],[Cost, $MSRP
CAD]],0.75))</f>
        <v>10000</v>
      </c>
      <c r="AI15" s="90">
        <f>MIN(MAX(EV_DB[[#This Row],[Federal Rebates (iMHZEV) ]],EV_DB[[#This Row],[AB Vehicle Rebates]]),PRODUCT(EV_DB[[#This Row],[Cost, $MSRP
CAD]],0.75))</f>
        <v>10000</v>
      </c>
      <c r="AJ15" s="90">
        <f>MIN(MAX(EV_DB[[#This Row],[Federal Rebates (iMHZEV) ]],EV_DB[[#This Row],[SC Vehicle Rebates]]),PRODUCT(EV_DB[[#This Row],[Cost, $MSRP
CAD]],0.75))</f>
        <v>10000</v>
      </c>
      <c r="AK15" s="90">
        <f>MIN(MAX(EV_DB[[#This Row],[Federal Rebates (iMHZEV) ]],EV_DB[[#This Row],[NS Vehicle Rebates]]),PRODUCT(EV_DB[[#This Row],[Cost, $MSRP
CAD]],0.75))</f>
        <v>10000</v>
      </c>
      <c r="AL15" s="90">
        <f>MIN(MAX(EV_DB[[#This Row],[Federal Rebates (iMHZEV) ]],EV_DB[[#This Row],[NB Vehicle Rebates]]),PRODUCT(EV_DB[[#This Row],[Cost, $MSRP
CAD]],0.75))</f>
        <v>10000</v>
      </c>
      <c r="AM15" s="90">
        <f>MIN(MAX(EV_DB[[#This Row],[Federal Rebates (iMHZEV) ]],EV_DB[[#This Row],[MB Vehicle Rebates]]),PRODUCT(EV_DB[[#This Row],[Cost, $MSRP
CAD]],0.75))</f>
        <v>10000</v>
      </c>
      <c r="AN15" s="90">
        <f>MIN(MAX(EV_DB[[#This Row],[Federal Rebates (iMHZEV) ]],EV_DB[[#This Row],[PEI Vehicle Rebates]]),PRODUCT(EV_DB[[#This Row],[Cost, $MSRP
CAD]],0.75))</f>
        <v>10000</v>
      </c>
      <c r="AO15" s="90">
        <f>MIN(MAX(EV_DB[[#This Row],[Federal Rebates (iMHZEV) ]],EV_DB[[#This Row],[NL Vehicle Rebates]]),PRODUCT(EV_DB[[#This Row],[Cost, $MSRP
CAD]],0.75))</f>
        <v>10000</v>
      </c>
      <c r="AP15" s="90">
        <f>MIN(MAX(EV_DB[[#This Row],[Federal Rebates (iMHZEV) ]]+EV_DB[[#This Row],[YT Vehicle Rebates]]),PRODUCT(EV_DB[[#This Row],[Cost, $MSRP
CAD]],0.75))</f>
        <v>10000</v>
      </c>
      <c r="AQ15" s="94">
        <f>MIN(MAX(EV_DB[[#This Row],[Federal Rebates (iMHZEV) ]],EV_DB[[#This Row],[NU Vehicle Rebates]]),PRODUCT(EV_DB[[#This Row],[Cost, $MSRP
CAD]],0.75))</f>
        <v>10000</v>
      </c>
      <c r="AR15" s="93">
        <f>MIN(MAX(EV_DB[[#This Row],[Federal Rebates (iMHZEV) ]],EV_DB[[#This Row],[NT Vehicle Rebates]]),PRODUCT(EV_DB[[#This Row],[Cost, $MSRP
CAD]],0.75))</f>
        <v>10000</v>
      </c>
    </row>
    <row r="16" spans="1:46" s="1" customFormat="1" ht="15.6">
      <c r="A16" s="40" t="s">
        <v>325</v>
      </c>
      <c r="B16" s="40" t="s">
        <v>346</v>
      </c>
      <c r="C16" s="90" t="str">
        <f>EV_DB[[#This Row],[Manufacturer  ]]&amp; " " &amp;EV_DB[[#This Row],[Model]]</f>
        <v>Rivian EDV-500</v>
      </c>
      <c r="D16" s="40" t="s">
        <v>336</v>
      </c>
      <c r="E16" s="40">
        <v>2025</v>
      </c>
      <c r="F16" s="40" t="s">
        <v>295</v>
      </c>
      <c r="G16" s="90" t="str" cm="1">
        <f t="array" ref="G16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Light Duty</v>
      </c>
      <c r="H16" s="40" t="s">
        <v>347</v>
      </c>
      <c r="I16" s="41">
        <v>2734</v>
      </c>
      <c r="J16" s="71">
        <v>90000</v>
      </c>
      <c r="K16" s="92" cm="1">
        <f t="array" ref="K16">_xlfn.IFS(EV_DB[[#This Row],[Category]]="Light Duty",'Maintenance costs table'!$D$4,EV_DB[[#This Row],[Category]]="Medium Duty",'Maintenance costs table'!$D$8,EV_DB[[#This Row],[Category]]="Heavy Duty",'Maintenance costs table'!$D$6)</f>
        <v>0.18</v>
      </c>
      <c r="L16" s="42" t="s">
        <v>17</v>
      </c>
      <c r="M16" s="40" t="s">
        <v>348</v>
      </c>
      <c r="N16" s="40">
        <v>0.3</v>
      </c>
      <c r="O16" s="40"/>
      <c r="P16" s="40"/>
      <c r="Q16" s="41">
        <v>259</v>
      </c>
      <c r="R16" s="41" cm="1">
        <f t="array" ref="R16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10000</v>
      </c>
      <c r="S16" s="41"/>
      <c r="T16" s="40" cm="1">
        <f t="array" ref="T16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10000</v>
      </c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95">
        <f>MIN(MAX(EV_DB[[#This Row],[Federal Rebates (iMHZEV) ]],EV_DB[[#This Row],[ON Vehicle Rebates]]),PRODUCT(EV_DB[[#This Row],[Cost, $MSRP
CAD]],0.75))</f>
        <v>10000</v>
      </c>
      <c r="AG16" s="90">
        <f>MIN(EV_DB[[#This Row],[Federal Rebates (iMHZEV) ]]+EV_DB[[#This Row],[BC Vehicle Rebates]],PRODUCT(EV_DB[[#This Row],[Cost, $MSRP
CAD]],0.75))</f>
        <v>20000</v>
      </c>
      <c r="AH16" s="90">
        <f>MIN(EV_DB[[#This Row],[Federal Rebates (iMHZEV) ]]+EV_DB[[#This Row],[QC Vehicle Rebates]],PRODUCT(EV_DB[[#This Row],[Cost, $MSRP
CAD]],0.75))</f>
        <v>10000</v>
      </c>
      <c r="AI16" s="90">
        <f>MIN(MAX(EV_DB[[#This Row],[Federal Rebates (iMHZEV) ]],EV_DB[[#This Row],[AB Vehicle Rebates]]),PRODUCT(EV_DB[[#This Row],[Cost, $MSRP
CAD]],0.75))</f>
        <v>10000</v>
      </c>
      <c r="AJ16" s="90">
        <f>MIN(MAX(EV_DB[[#This Row],[Federal Rebates (iMHZEV) ]],EV_DB[[#This Row],[SC Vehicle Rebates]]),PRODUCT(EV_DB[[#This Row],[Cost, $MSRP
CAD]],0.75))</f>
        <v>10000</v>
      </c>
      <c r="AK16" s="90">
        <f>MIN(MAX(EV_DB[[#This Row],[Federal Rebates (iMHZEV) ]],EV_DB[[#This Row],[NS Vehicle Rebates]]),PRODUCT(EV_DB[[#This Row],[Cost, $MSRP
CAD]],0.75))</f>
        <v>10000</v>
      </c>
      <c r="AL16" s="90">
        <f>MIN(MAX(EV_DB[[#This Row],[Federal Rebates (iMHZEV) ]],EV_DB[[#This Row],[NB Vehicle Rebates]]),PRODUCT(EV_DB[[#This Row],[Cost, $MSRP
CAD]],0.75))</f>
        <v>10000</v>
      </c>
      <c r="AM16" s="90">
        <f>MIN(MAX(EV_DB[[#This Row],[Federal Rebates (iMHZEV) ]],EV_DB[[#This Row],[MB Vehicle Rebates]]),PRODUCT(EV_DB[[#This Row],[Cost, $MSRP
CAD]],0.75))</f>
        <v>10000</v>
      </c>
      <c r="AN16" s="90">
        <f>MIN(MAX(EV_DB[[#This Row],[Federal Rebates (iMHZEV) ]],EV_DB[[#This Row],[PEI Vehicle Rebates]]),PRODUCT(EV_DB[[#This Row],[Cost, $MSRP
CAD]],0.75))</f>
        <v>10000</v>
      </c>
      <c r="AO16" s="90">
        <f>MIN(MAX(EV_DB[[#This Row],[Federal Rebates (iMHZEV) ]],EV_DB[[#This Row],[NL Vehicle Rebates]]),PRODUCT(EV_DB[[#This Row],[Cost, $MSRP
CAD]],0.75))</f>
        <v>10000</v>
      </c>
      <c r="AP16" s="90">
        <f>MIN(MAX(EV_DB[[#This Row],[Federal Rebates (iMHZEV) ]]+EV_DB[[#This Row],[YT Vehicle Rebates]]),PRODUCT(EV_DB[[#This Row],[Cost, $MSRP
CAD]],0.75))</f>
        <v>10000</v>
      </c>
      <c r="AQ16" s="94">
        <f>MIN(MAX(EV_DB[[#This Row],[Federal Rebates (iMHZEV) ]],EV_DB[[#This Row],[NU Vehicle Rebates]]),PRODUCT(EV_DB[[#This Row],[Cost, $MSRP
CAD]],0.75))</f>
        <v>10000</v>
      </c>
      <c r="AR16" s="93">
        <f>MIN(MAX(EV_DB[[#This Row],[Federal Rebates (iMHZEV) ]],EV_DB[[#This Row],[NT Vehicle Rebates]]),PRODUCT(EV_DB[[#This Row],[Cost, $MSRP
CAD]],0.75))</f>
        <v>10000</v>
      </c>
    </row>
    <row r="17" spans="1:45" s="1" customFormat="1" ht="62.1">
      <c r="A17" s="40" t="s">
        <v>349</v>
      </c>
      <c r="B17" s="40" t="s">
        <v>350</v>
      </c>
      <c r="C17" s="90" t="str">
        <f>EV_DB[[#This Row],[Manufacturer  ]]&amp; " " &amp;EV_DB[[#This Row],[Model]]</f>
        <v xml:space="preserve">GreenPower  EV Star </v>
      </c>
      <c r="D17" s="40" t="s">
        <v>336</v>
      </c>
      <c r="E17" s="40">
        <v>2023</v>
      </c>
      <c r="F17" s="40">
        <v>4</v>
      </c>
      <c r="G17" s="90" t="str" cm="1">
        <f t="array" ref="G17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Medium Duty</v>
      </c>
      <c r="H17" s="40">
        <v>7000</v>
      </c>
      <c r="I17" s="41">
        <v>7000</v>
      </c>
      <c r="J17" s="71">
        <v>174900</v>
      </c>
      <c r="K17" s="92" cm="1">
        <f t="array" ref="K17">_xlfn.IFS(EV_DB[[#This Row],[Category]]="Light Duty",'Maintenance costs table'!$D$4,EV_DB[[#This Row],[Category]]="Medium Duty",'Maintenance costs table'!$D$8,EV_DB[[#This Row],[Category]]="Heavy Duty",'Maintenance costs table'!$D$6)</f>
        <v>0.25</v>
      </c>
      <c r="L17" s="42" t="s">
        <v>17</v>
      </c>
      <c r="M17" s="40" t="s">
        <v>351</v>
      </c>
      <c r="N17" s="40">
        <v>0.26</v>
      </c>
      <c r="O17" s="40" t="s">
        <v>352</v>
      </c>
      <c r="P17" s="40"/>
      <c r="Q17" s="41">
        <v>241</v>
      </c>
      <c r="R17" s="41" cm="1">
        <f t="array" ref="R17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75000</v>
      </c>
      <c r="S17" s="70"/>
      <c r="T17" s="40" cm="1">
        <f t="array" ref="T17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75000</v>
      </c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92">
        <f>MIN(MAX(EV_DB[[#This Row],[Federal Rebates (iMHZEV) ]],EV_DB[[#This Row],[ON Vehicle Rebates]]),PRODUCT(EV_DB[[#This Row],[Cost, $MSRP
CAD]],0.75))</f>
        <v>75000</v>
      </c>
      <c r="AG17" s="90">
        <f>MIN(EV_DB[[#This Row],[Federal Rebates (iMHZEV) ]]+EV_DB[[#This Row],[BC Vehicle Rebates]],PRODUCT(EV_DB[[#This Row],[Cost, $MSRP
CAD]],0.75))</f>
        <v>131175</v>
      </c>
      <c r="AH17" s="90">
        <f>MIN(EV_DB[[#This Row],[Federal Rebates (iMHZEV) ]]+EV_DB[[#This Row],[QC Vehicle Rebates]],PRODUCT(EV_DB[[#This Row],[Cost, $MSRP
CAD]],0.75))</f>
        <v>75000</v>
      </c>
      <c r="AI17" s="90">
        <f>MIN(MAX(EV_DB[[#This Row],[Federal Rebates (iMHZEV) ]],EV_DB[[#This Row],[AB Vehicle Rebates]]),PRODUCT(EV_DB[[#This Row],[Cost, $MSRP
CAD]],0.75))</f>
        <v>75000</v>
      </c>
      <c r="AJ17" s="90">
        <f>MIN(MAX(EV_DB[[#This Row],[Federal Rebates (iMHZEV) ]],EV_DB[[#This Row],[SC Vehicle Rebates]]),PRODUCT(EV_DB[[#This Row],[Cost, $MSRP
CAD]],0.75))</f>
        <v>75000</v>
      </c>
      <c r="AK17" s="90">
        <f>MIN(MAX(EV_DB[[#This Row],[Federal Rebates (iMHZEV) ]],EV_DB[[#This Row],[NS Vehicle Rebates]]),PRODUCT(EV_DB[[#This Row],[Cost, $MSRP
CAD]],0.75))</f>
        <v>75000</v>
      </c>
      <c r="AL17" s="90">
        <f>MIN(MAX(EV_DB[[#This Row],[Federal Rebates (iMHZEV) ]],EV_DB[[#This Row],[NB Vehicle Rebates]]),PRODUCT(EV_DB[[#This Row],[Cost, $MSRP
CAD]],0.75))</f>
        <v>75000</v>
      </c>
      <c r="AM17" s="90">
        <f>MIN(MAX(EV_DB[[#This Row],[Federal Rebates (iMHZEV) ]],EV_DB[[#This Row],[MB Vehicle Rebates]]),PRODUCT(EV_DB[[#This Row],[Cost, $MSRP
CAD]],0.75))</f>
        <v>75000</v>
      </c>
      <c r="AN17" s="90">
        <f>MIN(MAX(EV_DB[[#This Row],[Federal Rebates (iMHZEV) ]],EV_DB[[#This Row],[PEI Vehicle Rebates]]),PRODUCT(EV_DB[[#This Row],[Cost, $MSRP
CAD]],0.75))</f>
        <v>75000</v>
      </c>
      <c r="AO17" s="90">
        <f>MIN(MAX(EV_DB[[#This Row],[Federal Rebates (iMHZEV) ]],EV_DB[[#This Row],[NL Vehicle Rebates]]),PRODUCT(EV_DB[[#This Row],[Cost, $MSRP
CAD]],0.75))</f>
        <v>75000</v>
      </c>
      <c r="AP17" s="90">
        <f>MIN(MAX(EV_DB[[#This Row],[Federal Rebates (iMHZEV) ]]+EV_DB[[#This Row],[YT Vehicle Rebates]]),PRODUCT(EV_DB[[#This Row],[Cost, $MSRP
CAD]],0.75))</f>
        <v>75000</v>
      </c>
      <c r="AQ17" s="94">
        <f>MIN(MAX(EV_DB[[#This Row],[Federal Rebates (iMHZEV) ]],EV_DB[[#This Row],[NU Vehicle Rebates]]),PRODUCT(EV_DB[[#This Row],[Cost, $MSRP
CAD]],0.75))</f>
        <v>75000</v>
      </c>
      <c r="AR17" s="93">
        <f>MIN(MAX(EV_DB[[#This Row],[Federal Rebates (iMHZEV) ]],EV_DB[[#This Row],[NT Vehicle Rebates]]),PRODUCT(EV_DB[[#This Row],[Cost, $MSRP
CAD]],0.75))</f>
        <v>75000</v>
      </c>
    </row>
    <row r="18" spans="1:45" s="1" customFormat="1" ht="30.95">
      <c r="A18" s="40" t="s">
        <v>349</v>
      </c>
      <c r="B18" s="40" t="s">
        <v>353</v>
      </c>
      <c r="C18" s="90" t="str">
        <f>EV_DB[[#This Row],[Manufacturer  ]]&amp; " " &amp;EV_DB[[#This Row],[Model]]</f>
        <v>GreenPower EV STAR REEFERX </v>
      </c>
      <c r="D18" s="40" t="s">
        <v>336</v>
      </c>
      <c r="E18" s="40">
        <v>2024</v>
      </c>
      <c r="F18" s="40">
        <v>4</v>
      </c>
      <c r="G18" s="90" t="str" cm="1">
        <f t="array" ref="G18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Medium Duty</v>
      </c>
      <c r="H18" s="40">
        <v>6500</v>
      </c>
      <c r="I18" s="41">
        <v>5500</v>
      </c>
      <c r="J18" s="71">
        <v>190000</v>
      </c>
      <c r="K18" s="92" cm="1">
        <f t="array" ref="K18">_xlfn.IFS(EV_DB[[#This Row],[Category]]="Light Duty",'Maintenance costs table'!$D$4,EV_DB[[#This Row],[Category]]="Medium Duty",'Maintenance costs table'!$D$8,EV_DB[[#This Row],[Category]]="Heavy Duty",'Maintenance costs table'!$D$6)</f>
        <v>0.25</v>
      </c>
      <c r="L18" s="42" t="s">
        <v>354</v>
      </c>
      <c r="M18" s="40">
        <v>118</v>
      </c>
      <c r="N18" s="40">
        <v>0.26</v>
      </c>
      <c r="O18" s="40" t="s">
        <v>355</v>
      </c>
      <c r="P18" s="40"/>
      <c r="Q18" s="41">
        <v>241</v>
      </c>
      <c r="R18" s="41" cm="1">
        <f t="array" ref="R18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75000</v>
      </c>
      <c r="S18" s="41"/>
      <c r="T18" s="40" cm="1">
        <f t="array" ref="T18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75000</v>
      </c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92">
        <f>MIN(MAX(EV_DB[[#This Row],[Federal Rebates (iMHZEV) ]],EV_DB[[#This Row],[ON Vehicle Rebates]]),PRODUCT(EV_DB[[#This Row],[Cost, $MSRP
CAD]],0.75))</f>
        <v>75000</v>
      </c>
      <c r="AG18" s="90">
        <f>MIN(EV_DB[[#This Row],[Federal Rebates (iMHZEV) ]]+EV_DB[[#This Row],[BC Vehicle Rebates]],PRODUCT(EV_DB[[#This Row],[Cost, $MSRP
CAD]],0.75))</f>
        <v>142500</v>
      </c>
      <c r="AH18" s="90">
        <f>MIN(EV_DB[[#This Row],[Federal Rebates (iMHZEV) ]]+EV_DB[[#This Row],[QC Vehicle Rebates]],PRODUCT(EV_DB[[#This Row],[Cost, $MSRP
CAD]],0.75))</f>
        <v>75000</v>
      </c>
      <c r="AI18" s="90">
        <f>MIN(MAX(EV_DB[[#This Row],[Federal Rebates (iMHZEV) ]],EV_DB[[#This Row],[AB Vehicle Rebates]]),PRODUCT(EV_DB[[#This Row],[Cost, $MSRP
CAD]],0.75))</f>
        <v>75000</v>
      </c>
      <c r="AJ18" s="90">
        <f>MIN(MAX(EV_DB[[#This Row],[Federal Rebates (iMHZEV) ]],EV_DB[[#This Row],[SC Vehicle Rebates]]),PRODUCT(EV_DB[[#This Row],[Cost, $MSRP
CAD]],0.75))</f>
        <v>75000</v>
      </c>
      <c r="AK18" s="90">
        <f>MIN(MAX(EV_DB[[#This Row],[Federal Rebates (iMHZEV) ]],EV_DB[[#This Row],[NS Vehicle Rebates]]),PRODUCT(EV_DB[[#This Row],[Cost, $MSRP
CAD]],0.75))</f>
        <v>75000</v>
      </c>
      <c r="AL18" s="90">
        <f>MIN(MAX(EV_DB[[#This Row],[Federal Rebates (iMHZEV) ]],EV_DB[[#This Row],[NB Vehicle Rebates]]),PRODUCT(EV_DB[[#This Row],[Cost, $MSRP
CAD]],0.75))</f>
        <v>75000</v>
      </c>
      <c r="AM18" s="90">
        <f>MIN(MAX(EV_DB[[#This Row],[Federal Rebates (iMHZEV) ]],EV_DB[[#This Row],[MB Vehicle Rebates]]),PRODUCT(EV_DB[[#This Row],[Cost, $MSRP
CAD]],0.75))</f>
        <v>75000</v>
      </c>
      <c r="AN18" s="90">
        <f>MIN(MAX(EV_DB[[#This Row],[Federal Rebates (iMHZEV) ]],EV_DB[[#This Row],[PEI Vehicle Rebates]]),PRODUCT(EV_DB[[#This Row],[Cost, $MSRP
CAD]],0.75))</f>
        <v>75000</v>
      </c>
      <c r="AO18" s="90">
        <f>MIN(MAX(EV_DB[[#This Row],[Federal Rebates (iMHZEV) ]],EV_DB[[#This Row],[NL Vehicle Rebates]]),PRODUCT(EV_DB[[#This Row],[Cost, $MSRP
CAD]],0.75))</f>
        <v>75000</v>
      </c>
      <c r="AP18" s="90">
        <f>MIN(MAX(EV_DB[[#This Row],[Federal Rebates (iMHZEV) ]]+EV_DB[[#This Row],[YT Vehicle Rebates]]),PRODUCT(EV_DB[[#This Row],[Cost, $MSRP
CAD]],0.75))</f>
        <v>75000</v>
      </c>
      <c r="AQ18" s="94">
        <f>MIN(MAX(EV_DB[[#This Row],[Federal Rebates (iMHZEV) ]],EV_DB[[#This Row],[NU Vehicle Rebates]]),PRODUCT(EV_DB[[#This Row],[Cost, $MSRP
CAD]],0.75))</f>
        <v>75000</v>
      </c>
      <c r="AR18" s="93">
        <f>MIN(MAX(EV_DB[[#This Row],[Federal Rebates (iMHZEV) ]],EV_DB[[#This Row],[NT Vehicle Rebates]]),PRODUCT(EV_DB[[#This Row],[Cost, $MSRP
CAD]],0.75))</f>
        <v>75000</v>
      </c>
    </row>
    <row r="19" spans="1:45" s="1" customFormat="1" ht="46.5">
      <c r="A19" s="40" t="s">
        <v>349</v>
      </c>
      <c r="B19" s="40" t="s">
        <v>356</v>
      </c>
      <c r="C19" s="90" t="str">
        <f>EV_DB[[#This Row],[Manufacturer  ]]&amp; " " &amp;EV_DB[[#This Row],[Model]]</f>
        <v>GreenPower EV Star Utility Truck</v>
      </c>
      <c r="D19" s="40" t="s">
        <v>357</v>
      </c>
      <c r="E19" s="40">
        <v>2024</v>
      </c>
      <c r="F19" s="40">
        <v>4</v>
      </c>
      <c r="G19" s="90" t="str" cm="1">
        <f t="array" ref="G19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Medium Duty</v>
      </c>
      <c r="H19" s="40">
        <v>6000</v>
      </c>
      <c r="I19" s="41">
        <v>6000</v>
      </c>
      <c r="J19" s="71">
        <v>190000</v>
      </c>
      <c r="K19" s="92" cm="1">
        <f t="array" ref="K19">_xlfn.IFS(EV_DB[[#This Row],[Category]]="Light Duty",'Maintenance costs table'!$D$4,EV_DB[[#This Row],[Category]]="Medium Duty",'Maintenance costs table'!$D$8,EV_DB[[#This Row],[Category]]="Heavy Duty",'Maintenance costs table'!$D$6)</f>
        <v>0.25</v>
      </c>
      <c r="L19" s="42" t="s">
        <v>17</v>
      </c>
      <c r="M19" s="40">
        <v>118</v>
      </c>
      <c r="N19" s="40">
        <v>0.26</v>
      </c>
      <c r="O19" s="40" t="s">
        <v>358</v>
      </c>
      <c r="P19" s="40"/>
      <c r="Q19" s="41">
        <v>241</v>
      </c>
      <c r="R19" s="41" cm="1">
        <f t="array" ref="R19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75000</v>
      </c>
      <c r="S19" s="41"/>
      <c r="T19" s="40" cm="1">
        <f t="array" ref="T19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75000</v>
      </c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95">
        <f>MIN(MAX(EV_DB[[#This Row],[Federal Rebates (iMHZEV) ]],EV_DB[[#This Row],[ON Vehicle Rebates]]),PRODUCT(EV_DB[[#This Row],[Cost, $MSRP
CAD]],0.75))</f>
        <v>75000</v>
      </c>
      <c r="AG19" s="90">
        <f>MIN(EV_DB[[#This Row],[Federal Rebates (iMHZEV) ]]+EV_DB[[#This Row],[BC Vehicle Rebates]],PRODUCT(EV_DB[[#This Row],[Cost, $MSRP
CAD]],0.75))</f>
        <v>142500</v>
      </c>
      <c r="AH19" s="90">
        <f>MIN(EV_DB[[#This Row],[Federal Rebates (iMHZEV) ]]+EV_DB[[#This Row],[QC Vehicle Rebates]],PRODUCT(EV_DB[[#This Row],[Cost, $MSRP
CAD]],0.75))</f>
        <v>75000</v>
      </c>
      <c r="AI19" s="90">
        <f>MIN(MAX(EV_DB[[#This Row],[Federal Rebates (iMHZEV) ]],EV_DB[[#This Row],[AB Vehicle Rebates]]),PRODUCT(EV_DB[[#This Row],[Cost, $MSRP
CAD]],0.75))</f>
        <v>75000</v>
      </c>
      <c r="AJ19" s="90">
        <f>MIN(MAX(EV_DB[[#This Row],[Federal Rebates (iMHZEV) ]],EV_DB[[#This Row],[SC Vehicle Rebates]]),PRODUCT(EV_DB[[#This Row],[Cost, $MSRP
CAD]],0.75))</f>
        <v>75000</v>
      </c>
      <c r="AK19" s="90">
        <f>MIN(MAX(EV_DB[[#This Row],[Federal Rebates (iMHZEV) ]],EV_DB[[#This Row],[NS Vehicle Rebates]]),PRODUCT(EV_DB[[#This Row],[Cost, $MSRP
CAD]],0.75))</f>
        <v>75000</v>
      </c>
      <c r="AL19" s="90">
        <f>MIN(MAX(EV_DB[[#This Row],[Federal Rebates (iMHZEV) ]],EV_DB[[#This Row],[NB Vehicle Rebates]]),PRODUCT(EV_DB[[#This Row],[Cost, $MSRP
CAD]],0.75))</f>
        <v>75000</v>
      </c>
      <c r="AM19" s="90">
        <f>MIN(MAX(EV_DB[[#This Row],[Federal Rebates (iMHZEV) ]],EV_DB[[#This Row],[MB Vehicle Rebates]]),PRODUCT(EV_DB[[#This Row],[Cost, $MSRP
CAD]],0.75))</f>
        <v>75000</v>
      </c>
      <c r="AN19" s="90">
        <f>MIN(MAX(EV_DB[[#This Row],[Federal Rebates (iMHZEV) ]],EV_DB[[#This Row],[PEI Vehicle Rebates]]),PRODUCT(EV_DB[[#This Row],[Cost, $MSRP
CAD]],0.75))</f>
        <v>75000</v>
      </c>
      <c r="AO19" s="90">
        <f>MIN(MAX(EV_DB[[#This Row],[Federal Rebates (iMHZEV) ]],EV_DB[[#This Row],[NL Vehicle Rebates]]),PRODUCT(EV_DB[[#This Row],[Cost, $MSRP
CAD]],0.75))</f>
        <v>75000</v>
      </c>
      <c r="AP19" s="90">
        <f>MIN(MAX(EV_DB[[#This Row],[Federal Rebates (iMHZEV) ]]+EV_DB[[#This Row],[YT Vehicle Rebates]]),PRODUCT(EV_DB[[#This Row],[Cost, $MSRP
CAD]],0.75))</f>
        <v>75000</v>
      </c>
      <c r="AQ19" s="94">
        <f>MIN(MAX(EV_DB[[#This Row],[Federal Rebates (iMHZEV) ]],EV_DB[[#This Row],[NU Vehicle Rebates]]),PRODUCT(EV_DB[[#This Row],[Cost, $MSRP
CAD]],0.75))</f>
        <v>75000</v>
      </c>
      <c r="AR19" s="93">
        <f>MIN(MAX(EV_DB[[#This Row],[Federal Rebates (iMHZEV) ]],EV_DB[[#This Row],[NT Vehicle Rebates]]),PRODUCT(EV_DB[[#This Row],[Cost, $MSRP
CAD]],0.75))</f>
        <v>75000</v>
      </c>
    </row>
    <row r="20" spans="1:45" s="1" customFormat="1" ht="30.95">
      <c r="A20" s="40" t="s">
        <v>359</v>
      </c>
      <c r="B20" s="40" t="s">
        <v>360</v>
      </c>
      <c r="C20" s="90" t="str">
        <f>EV_DB[[#This Row],[Manufacturer  ]]&amp; " " &amp;EV_DB[[#This Row],[Model]]</f>
        <v>Mullen Three (USA model)</v>
      </c>
      <c r="D20" s="40" t="s">
        <v>361</v>
      </c>
      <c r="E20" s="40">
        <v>2024</v>
      </c>
      <c r="F20" s="40">
        <v>3</v>
      </c>
      <c r="G20" s="90" t="str" cm="1">
        <f t="array" ref="G20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Light Duty</v>
      </c>
      <c r="H20" s="45">
        <v>11000</v>
      </c>
      <c r="I20" s="41">
        <v>5316</v>
      </c>
      <c r="J20" s="71">
        <v>93708</v>
      </c>
      <c r="K20" s="92" cm="1">
        <f t="array" ref="K20">_xlfn.IFS(EV_DB[[#This Row],[Category]]="Light Duty",'Maintenance costs table'!$D$4,EV_DB[[#This Row],[Category]]="Medium Duty",'Maintenance costs table'!$D$8,EV_DB[[#This Row],[Category]]="Heavy Duty",'Maintenance costs table'!$D$6)</f>
        <v>0.18</v>
      </c>
      <c r="L20" s="42" t="s">
        <v>17</v>
      </c>
      <c r="M20" s="40" t="s">
        <v>362</v>
      </c>
      <c r="N20" s="40">
        <v>0.22</v>
      </c>
      <c r="O20" s="40"/>
      <c r="P20" s="40"/>
      <c r="Q20" s="41">
        <v>201</v>
      </c>
      <c r="R20" s="41" cm="1">
        <f t="array" ref="R20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40000</v>
      </c>
      <c r="S20" s="70"/>
      <c r="T20" s="40" cm="1">
        <f t="array" ref="T20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55000</v>
      </c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92">
        <f>MIN(MAX(EV_DB[[#This Row],[Federal Rebates (iMHZEV) ]],EV_DB[[#This Row],[ON Vehicle Rebates]]),PRODUCT(EV_DB[[#This Row],[Cost, $MSRP
CAD]],0.75))</f>
        <v>40000</v>
      </c>
      <c r="AG20" s="90">
        <f>MIN(EV_DB[[#This Row],[Federal Rebates (iMHZEV) ]]+EV_DB[[#This Row],[BC Vehicle Rebates]],PRODUCT(EV_DB[[#This Row],[Cost, $MSRP
CAD]],0.75))</f>
        <v>70281</v>
      </c>
      <c r="AH20" s="90">
        <f>MIN(EV_DB[[#This Row],[Federal Rebates (iMHZEV) ]]+EV_DB[[#This Row],[QC Vehicle Rebates]],PRODUCT(EV_DB[[#This Row],[Cost, $MSRP
CAD]],0.75))</f>
        <v>40000</v>
      </c>
      <c r="AI20" s="90">
        <f>MIN(MAX(EV_DB[[#This Row],[Federal Rebates (iMHZEV) ]],EV_DB[[#This Row],[AB Vehicle Rebates]]),PRODUCT(EV_DB[[#This Row],[Cost, $MSRP
CAD]],0.75))</f>
        <v>40000</v>
      </c>
      <c r="AJ20" s="90">
        <f>MIN(MAX(EV_DB[[#This Row],[Federal Rebates (iMHZEV) ]],EV_DB[[#This Row],[SC Vehicle Rebates]]),PRODUCT(EV_DB[[#This Row],[Cost, $MSRP
CAD]],0.75))</f>
        <v>40000</v>
      </c>
      <c r="AK20" s="90">
        <f>MIN(MAX(EV_DB[[#This Row],[Federal Rebates (iMHZEV) ]],EV_DB[[#This Row],[NS Vehicle Rebates]]),PRODUCT(EV_DB[[#This Row],[Cost, $MSRP
CAD]],0.75))</f>
        <v>40000</v>
      </c>
      <c r="AL20" s="90">
        <f>MIN(MAX(EV_DB[[#This Row],[Federal Rebates (iMHZEV) ]],EV_DB[[#This Row],[NB Vehicle Rebates]]),PRODUCT(EV_DB[[#This Row],[Cost, $MSRP
CAD]],0.75))</f>
        <v>40000</v>
      </c>
      <c r="AM20" s="90">
        <f>MIN(MAX(EV_DB[[#This Row],[Federal Rebates (iMHZEV) ]],EV_DB[[#This Row],[MB Vehicle Rebates]]),PRODUCT(EV_DB[[#This Row],[Cost, $MSRP
CAD]],0.75))</f>
        <v>40000</v>
      </c>
      <c r="AN20" s="90">
        <f>MIN(MAX(EV_DB[[#This Row],[Federal Rebates (iMHZEV) ]],EV_DB[[#This Row],[PEI Vehicle Rebates]]),PRODUCT(EV_DB[[#This Row],[Cost, $MSRP
CAD]],0.75))</f>
        <v>40000</v>
      </c>
      <c r="AO20" s="90">
        <f>MIN(MAX(EV_DB[[#This Row],[Federal Rebates (iMHZEV) ]],EV_DB[[#This Row],[NL Vehicle Rebates]]),PRODUCT(EV_DB[[#This Row],[Cost, $MSRP
CAD]],0.75))</f>
        <v>40000</v>
      </c>
      <c r="AP20" s="90">
        <f>MIN(MAX(EV_DB[[#This Row],[Federal Rebates (iMHZEV) ]]+EV_DB[[#This Row],[YT Vehicle Rebates]]),PRODUCT(EV_DB[[#This Row],[Cost, $MSRP
CAD]],0.75))</f>
        <v>40000</v>
      </c>
      <c r="AQ20" s="94">
        <f>MIN(MAX(EV_DB[[#This Row],[Federal Rebates (iMHZEV) ]],EV_DB[[#This Row],[NU Vehicle Rebates]]),PRODUCT(EV_DB[[#This Row],[Cost, $MSRP
CAD]],0.75))</f>
        <v>40000</v>
      </c>
      <c r="AR20" s="93">
        <f>MIN(MAX(EV_DB[[#This Row],[Federal Rebates (iMHZEV) ]],EV_DB[[#This Row],[NT Vehicle Rebates]]),PRODUCT(EV_DB[[#This Row],[Cost, $MSRP
CAD]],0.75))</f>
        <v>40000</v>
      </c>
      <c r="AS20"/>
    </row>
    <row r="21" spans="1:45" s="1" customFormat="1" ht="30.95">
      <c r="A21" s="40" t="s">
        <v>363</v>
      </c>
      <c r="B21" s="40" t="s">
        <v>364</v>
      </c>
      <c r="C21" s="90" t="str">
        <f>EV_DB[[#This Row],[Manufacturer  ]]&amp; " " &amp;EV_DB[[#This Row],[Model]]</f>
        <v>Karsan e-JEST</v>
      </c>
      <c r="D21" s="40" t="s">
        <v>365</v>
      </c>
      <c r="E21" s="40">
        <v>2024</v>
      </c>
      <c r="F21" s="40">
        <v>3</v>
      </c>
      <c r="G21" s="90" t="str" cm="1">
        <f t="array" ref="G21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Light Duty</v>
      </c>
      <c r="H21" s="45">
        <v>11000</v>
      </c>
      <c r="I21" s="41">
        <v>5500</v>
      </c>
      <c r="J21" s="71">
        <v>375000</v>
      </c>
      <c r="K21" s="92" cm="1">
        <f t="array" ref="K21">_xlfn.IFS(EV_DB[[#This Row],[Category]]="Light Duty",'Maintenance costs table'!$D$4,EV_DB[[#This Row],[Category]]="Medium Duty",'Maintenance costs table'!$D$8,EV_DB[[#This Row],[Category]]="Heavy Duty",'Maintenance costs table'!$D$6)</f>
        <v>0.18</v>
      </c>
      <c r="L21" s="42" t="s">
        <v>17</v>
      </c>
      <c r="M21" s="40" t="s">
        <v>366</v>
      </c>
      <c r="N21" s="40">
        <v>0.2</v>
      </c>
      <c r="O21" s="40" t="s">
        <v>367</v>
      </c>
      <c r="P21" s="40"/>
      <c r="Q21" s="41">
        <v>210</v>
      </c>
      <c r="R21" s="41" cm="1">
        <f t="array" ref="R21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40000</v>
      </c>
      <c r="S21" s="70"/>
      <c r="T21" s="40" cm="1">
        <f t="array" ref="T21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55000</v>
      </c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92">
        <f>MIN(MAX(EV_DB[[#This Row],[Federal Rebates (iMHZEV) ]],EV_DB[[#This Row],[ON Vehicle Rebates]]),PRODUCT(EV_DB[[#This Row],[Cost, $MSRP
CAD]],0.75))</f>
        <v>40000</v>
      </c>
      <c r="AG21" s="90">
        <f>MIN(EV_DB[[#This Row],[Federal Rebates (iMHZEV) ]]+EV_DB[[#This Row],[BC Vehicle Rebates]],PRODUCT(EV_DB[[#This Row],[Cost, $MSRP
CAD]],0.75))</f>
        <v>95000</v>
      </c>
      <c r="AH21" s="90">
        <f>MIN(EV_DB[[#This Row],[Federal Rebates (iMHZEV) ]]+EV_DB[[#This Row],[QC Vehicle Rebates]],PRODUCT(EV_DB[[#This Row],[Cost, $MSRP
CAD]],0.75))</f>
        <v>40000</v>
      </c>
      <c r="AI21" s="90">
        <f>MIN(MAX(EV_DB[[#This Row],[Federal Rebates (iMHZEV) ]],EV_DB[[#This Row],[AB Vehicle Rebates]]),PRODUCT(EV_DB[[#This Row],[Cost, $MSRP
CAD]],0.75))</f>
        <v>40000</v>
      </c>
      <c r="AJ21" s="90">
        <f>MIN(MAX(EV_DB[[#This Row],[Federal Rebates (iMHZEV) ]],EV_DB[[#This Row],[SC Vehicle Rebates]]),PRODUCT(EV_DB[[#This Row],[Cost, $MSRP
CAD]],0.75))</f>
        <v>40000</v>
      </c>
      <c r="AK21" s="90">
        <f>MIN(MAX(EV_DB[[#This Row],[Federal Rebates (iMHZEV) ]],EV_DB[[#This Row],[NS Vehicle Rebates]]),PRODUCT(EV_DB[[#This Row],[Cost, $MSRP
CAD]],0.75))</f>
        <v>40000</v>
      </c>
      <c r="AL21" s="90">
        <f>MIN(MAX(EV_DB[[#This Row],[Federal Rebates (iMHZEV) ]],EV_DB[[#This Row],[NB Vehicle Rebates]]),PRODUCT(EV_DB[[#This Row],[Cost, $MSRP
CAD]],0.75))</f>
        <v>40000</v>
      </c>
      <c r="AM21" s="90">
        <f>MIN(MAX(EV_DB[[#This Row],[Federal Rebates (iMHZEV) ]],EV_DB[[#This Row],[MB Vehicle Rebates]]),PRODUCT(EV_DB[[#This Row],[Cost, $MSRP
CAD]],0.75))</f>
        <v>40000</v>
      </c>
      <c r="AN21" s="90">
        <f>MIN(MAX(EV_DB[[#This Row],[Federal Rebates (iMHZEV) ]],EV_DB[[#This Row],[PEI Vehicle Rebates]]),PRODUCT(EV_DB[[#This Row],[Cost, $MSRP
CAD]],0.75))</f>
        <v>40000</v>
      </c>
      <c r="AO21" s="90">
        <f>MIN(MAX(EV_DB[[#This Row],[Federal Rebates (iMHZEV) ]],EV_DB[[#This Row],[NL Vehicle Rebates]]),PRODUCT(EV_DB[[#This Row],[Cost, $MSRP
CAD]],0.75))</f>
        <v>40000</v>
      </c>
      <c r="AP21" s="90">
        <f>MIN(MAX(EV_DB[[#This Row],[Federal Rebates (iMHZEV) ]]+EV_DB[[#This Row],[YT Vehicle Rebates]]),PRODUCT(EV_DB[[#This Row],[Cost, $MSRP
CAD]],0.75))</f>
        <v>40000</v>
      </c>
      <c r="AQ21" s="90">
        <f>MIN(MAX(EV_DB[[#This Row],[Federal Rebates (iMHZEV) ]],EV_DB[[#This Row],[NU Vehicle Rebates]]),PRODUCT(EV_DB[[#This Row],[Cost, $MSRP
CAD]],0.75))</f>
        <v>40000</v>
      </c>
      <c r="AR21" s="93">
        <f>MIN(MAX(EV_DB[[#This Row],[Federal Rebates (iMHZEV) ]],EV_DB[[#This Row],[NT Vehicle Rebates]]),PRODUCT(EV_DB[[#This Row],[Cost, $MSRP
CAD]],0.75))</f>
        <v>40000</v>
      </c>
      <c r="AS21"/>
    </row>
    <row r="22" spans="1:45" s="1" customFormat="1" ht="15.6">
      <c r="A22" s="40" t="s">
        <v>368</v>
      </c>
      <c r="B22" s="40" t="s">
        <v>369</v>
      </c>
      <c r="C22" s="90" t="str">
        <f>EV_DB[[#This Row],[Manufacturer  ]]&amp; " " &amp;EV_DB[[#This Row],[Model]]</f>
        <v>Vicnity VM 1200</v>
      </c>
      <c r="D22" s="40" t="s">
        <v>370</v>
      </c>
      <c r="E22" s="40">
        <v>2024</v>
      </c>
      <c r="F22" s="40">
        <v>3</v>
      </c>
      <c r="G22" s="90" t="str" cm="1">
        <f t="array" ref="G22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Light Duty</v>
      </c>
      <c r="H22" s="45">
        <v>12000</v>
      </c>
      <c r="I22" s="41">
        <v>6000</v>
      </c>
      <c r="J22" s="71">
        <v>159900</v>
      </c>
      <c r="K22" s="92" cm="1">
        <f t="array" ref="K22">_xlfn.IFS(EV_DB[[#This Row],[Category]]="Light Duty",'Maintenance costs table'!$D$4,EV_DB[[#This Row],[Category]]="Medium Duty",'Maintenance costs table'!$D$8,EV_DB[[#This Row],[Category]]="Heavy Duty",'Maintenance costs table'!$D$6)</f>
        <v>0.18</v>
      </c>
      <c r="L22" s="42" t="s">
        <v>17</v>
      </c>
      <c r="M22" s="40" t="s">
        <v>371</v>
      </c>
      <c r="N22" s="40">
        <v>0.28999999999999998</v>
      </c>
      <c r="O22" s="40"/>
      <c r="P22" s="40"/>
      <c r="Q22" s="41">
        <v>289</v>
      </c>
      <c r="R22" s="41" cm="1">
        <f t="array" ref="R22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40000</v>
      </c>
      <c r="S22" s="70"/>
      <c r="T22" s="40" cm="1">
        <f t="array" ref="T22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55000</v>
      </c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92">
        <f>MIN(MAX(EV_DB[[#This Row],[Federal Rebates (iMHZEV) ]],EV_DB[[#This Row],[ON Vehicle Rebates]]),PRODUCT(EV_DB[[#This Row],[Cost, $MSRP
CAD]],0.75))</f>
        <v>40000</v>
      </c>
      <c r="AG22" s="90">
        <f>MIN(EV_DB[[#This Row],[Federal Rebates (iMHZEV) ]]+EV_DB[[#This Row],[BC Vehicle Rebates]],PRODUCT(EV_DB[[#This Row],[Cost, $MSRP
CAD]],0.75))</f>
        <v>95000</v>
      </c>
      <c r="AH22" s="90">
        <f>MIN(EV_DB[[#This Row],[Federal Rebates (iMHZEV) ]]+EV_DB[[#This Row],[QC Vehicle Rebates]],PRODUCT(EV_DB[[#This Row],[Cost, $MSRP
CAD]],0.75))</f>
        <v>40000</v>
      </c>
      <c r="AI22" s="90">
        <f>MIN(MAX(EV_DB[[#This Row],[Federal Rebates (iMHZEV) ]],EV_DB[[#This Row],[AB Vehicle Rebates]]),PRODUCT(EV_DB[[#This Row],[Cost, $MSRP
CAD]],0.75))</f>
        <v>40000</v>
      </c>
      <c r="AJ22" s="90">
        <f>MIN(MAX(EV_DB[[#This Row],[Federal Rebates (iMHZEV) ]],EV_DB[[#This Row],[SC Vehicle Rebates]]),PRODUCT(EV_DB[[#This Row],[Cost, $MSRP
CAD]],0.75))</f>
        <v>40000</v>
      </c>
      <c r="AK22" s="90">
        <f>MIN(MAX(EV_DB[[#This Row],[Federal Rebates (iMHZEV) ]],EV_DB[[#This Row],[NS Vehicle Rebates]]),PRODUCT(EV_DB[[#This Row],[Cost, $MSRP
CAD]],0.75))</f>
        <v>40000</v>
      </c>
      <c r="AL22" s="90">
        <f>MIN(MAX(EV_DB[[#This Row],[Federal Rebates (iMHZEV) ]],EV_DB[[#This Row],[NB Vehicle Rebates]]),PRODUCT(EV_DB[[#This Row],[Cost, $MSRP
CAD]],0.75))</f>
        <v>40000</v>
      </c>
      <c r="AM22" s="90">
        <f>MIN(MAX(EV_DB[[#This Row],[Federal Rebates (iMHZEV) ]],EV_DB[[#This Row],[MB Vehicle Rebates]]),PRODUCT(EV_DB[[#This Row],[Cost, $MSRP
CAD]],0.75))</f>
        <v>40000</v>
      </c>
      <c r="AN22" s="90">
        <f>MIN(MAX(EV_DB[[#This Row],[Federal Rebates (iMHZEV) ]],EV_DB[[#This Row],[PEI Vehicle Rebates]]),PRODUCT(EV_DB[[#This Row],[Cost, $MSRP
CAD]],0.75))</f>
        <v>40000</v>
      </c>
      <c r="AO22" s="90">
        <f>MIN(MAX(EV_DB[[#This Row],[Federal Rebates (iMHZEV) ]],EV_DB[[#This Row],[NL Vehicle Rebates]]),PRODUCT(EV_DB[[#This Row],[Cost, $MSRP
CAD]],0.75))</f>
        <v>40000</v>
      </c>
      <c r="AP22" s="90">
        <f>MIN(MAX(EV_DB[[#This Row],[Federal Rebates (iMHZEV) ]]+EV_DB[[#This Row],[YT Vehicle Rebates]]),PRODUCT(EV_DB[[#This Row],[Cost, $MSRP
CAD]],0.75))</f>
        <v>40000</v>
      </c>
      <c r="AQ22" s="90">
        <f>MIN(MAX(EV_DB[[#This Row],[Federal Rebates (iMHZEV) ]],EV_DB[[#This Row],[NU Vehicle Rebates]]),PRODUCT(EV_DB[[#This Row],[Cost, $MSRP
CAD]],0.75))</f>
        <v>40000</v>
      </c>
      <c r="AR22" s="93">
        <f>MIN(MAX(EV_DB[[#This Row],[Federal Rebates (iMHZEV) ]],EV_DB[[#This Row],[NT Vehicle Rebates]]),PRODUCT(EV_DB[[#This Row],[Cost, $MSRP
CAD]],0.75))</f>
        <v>40000</v>
      </c>
    </row>
    <row r="23" spans="1:45" s="1" customFormat="1" ht="30.95">
      <c r="A23" s="40" t="s">
        <v>372</v>
      </c>
      <c r="B23" s="40" t="s">
        <v>373</v>
      </c>
      <c r="C23" s="90" t="str">
        <f>EV_DB[[#This Row],[Manufacturer  ]]&amp; " " &amp;EV_DB[[#This Row],[Model]]</f>
        <v>Motiv Power Systems  EPIC F-59</v>
      </c>
      <c r="D23" s="40" t="s">
        <v>374</v>
      </c>
      <c r="E23" s="40">
        <v>2024</v>
      </c>
      <c r="F23" s="40">
        <v>5</v>
      </c>
      <c r="G23" s="90" t="str" cm="1">
        <f t="array" ref="G23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Medium Duty</v>
      </c>
      <c r="H23" s="45">
        <v>19500</v>
      </c>
      <c r="I23" s="41">
        <v>10000</v>
      </c>
      <c r="J23" s="71">
        <v>200000</v>
      </c>
      <c r="K23" s="92" cm="1">
        <f t="array" ref="K23">_xlfn.IFS(EV_DB[[#This Row],[Category]]="Light Duty",'Maintenance costs table'!$D$4,EV_DB[[#This Row],[Category]]="Medium Duty",'Maintenance costs table'!$D$8,EV_DB[[#This Row],[Category]]="Heavy Duty",'Maintenance costs table'!$D$6)</f>
        <v>0.25</v>
      </c>
      <c r="L23" s="42" t="s">
        <v>17</v>
      </c>
      <c r="M23" s="40" t="s">
        <v>375</v>
      </c>
      <c r="N23" s="40">
        <v>0.28000000000000003</v>
      </c>
      <c r="O23" s="40" t="s">
        <v>376</v>
      </c>
      <c r="P23" s="40"/>
      <c r="Q23" s="41">
        <v>169</v>
      </c>
      <c r="R23" s="41" cm="1">
        <f t="array" ref="R23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75000</v>
      </c>
      <c r="S23" s="41"/>
      <c r="T23" s="40" cm="1">
        <f t="array" ref="T23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75000</v>
      </c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92">
        <f>MIN(MAX(EV_DB[[#This Row],[Federal Rebates (iMHZEV) ]],EV_DB[[#This Row],[ON Vehicle Rebates]]),PRODUCT(EV_DB[[#This Row],[Cost, $MSRP
CAD]],0.75))</f>
        <v>75000</v>
      </c>
      <c r="AG23" s="90">
        <f>MIN(EV_DB[[#This Row],[Federal Rebates (iMHZEV) ]]+EV_DB[[#This Row],[BC Vehicle Rebates]],PRODUCT(EV_DB[[#This Row],[Cost, $MSRP
CAD]],0.75))</f>
        <v>150000</v>
      </c>
      <c r="AH23" s="90">
        <f>MIN(EV_DB[[#This Row],[Federal Rebates (iMHZEV) ]]+EV_DB[[#This Row],[QC Vehicle Rebates]],PRODUCT(EV_DB[[#This Row],[Cost, $MSRP
CAD]],0.75))</f>
        <v>75000</v>
      </c>
      <c r="AI23" s="90">
        <f>MIN(MAX(EV_DB[[#This Row],[Federal Rebates (iMHZEV) ]],EV_DB[[#This Row],[AB Vehicle Rebates]]),PRODUCT(EV_DB[[#This Row],[Cost, $MSRP
CAD]],0.75))</f>
        <v>75000</v>
      </c>
      <c r="AJ23" s="90">
        <f>MIN(MAX(EV_DB[[#This Row],[Federal Rebates (iMHZEV) ]],EV_DB[[#This Row],[SC Vehicle Rebates]]),PRODUCT(EV_DB[[#This Row],[Cost, $MSRP
CAD]],0.75))</f>
        <v>75000</v>
      </c>
      <c r="AK23" s="90">
        <f>MIN(MAX(EV_DB[[#This Row],[Federal Rebates (iMHZEV) ]],EV_DB[[#This Row],[NS Vehicle Rebates]]),PRODUCT(EV_DB[[#This Row],[Cost, $MSRP
CAD]],0.75))</f>
        <v>75000</v>
      </c>
      <c r="AL23" s="90">
        <f>MIN(MAX(EV_DB[[#This Row],[Federal Rebates (iMHZEV) ]],EV_DB[[#This Row],[NB Vehicle Rebates]]),PRODUCT(EV_DB[[#This Row],[Cost, $MSRP
CAD]],0.75))</f>
        <v>75000</v>
      </c>
      <c r="AM23" s="90">
        <f>MIN(MAX(EV_DB[[#This Row],[Federal Rebates (iMHZEV) ]],EV_DB[[#This Row],[MB Vehicle Rebates]]),PRODUCT(EV_DB[[#This Row],[Cost, $MSRP
CAD]],0.75))</f>
        <v>75000</v>
      </c>
      <c r="AN23" s="90">
        <f>MIN(MAX(EV_DB[[#This Row],[Federal Rebates (iMHZEV) ]],EV_DB[[#This Row],[PEI Vehicle Rebates]]),PRODUCT(EV_DB[[#This Row],[Cost, $MSRP
CAD]],0.75))</f>
        <v>75000</v>
      </c>
      <c r="AO23" s="90">
        <f>MIN(MAX(EV_DB[[#This Row],[Federal Rebates (iMHZEV) ]],EV_DB[[#This Row],[NL Vehicle Rebates]]),PRODUCT(EV_DB[[#This Row],[Cost, $MSRP
CAD]],0.75))</f>
        <v>75000</v>
      </c>
      <c r="AP23" s="90">
        <f>MIN(MAX(EV_DB[[#This Row],[Federal Rebates (iMHZEV) ]]+EV_DB[[#This Row],[YT Vehicle Rebates]]),PRODUCT(EV_DB[[#This Row],[Cost, $MSRP
CAD]],0.75))</f>
        <v>75000</v>
      </c>
      <c r="AQ23" s="90">
        <f>MIN(MAX(EV_DB[[#This Row],[Federal Rebates (iMHZEV) ]],EV_DB[[#This Row],[NU Vehicle Rebates]]),PRODUCT(EV_DB[[#This Row],[Cost, $MSRP
CAD]],0.75))</f>
        <v>75000</v>
      </c>
      <c r="AR23" s="93">
        <f>MIN(MAX(EV_DB[[#This Row],[Federal Rebates (iMHZEV) ]],EV_DB[[#This Row],[NT Vehicle Rebates]]),PRODUCT(EV_DB[[#This Row],[Cost, $MSRP
CAD]],0.75))</f>
        <v>75000</v>
      </c>
    </row>
    <row r="24" spans="1:45" s="1" customFormat="1" ht="30.95">
      <c r="A24" s="40" t="s">
        <v>372</v>
      </c>
      <c r="B24" s="40" t="s">
        <v>373</v>
      </c>
      <c r="C24" s="90" t="str">
        <f>EV_DB[[#This Row],[Manufacturer  ]]&amp; " " &amp;EV_DB[[#This Row],[Model]]</f>
        <v>Motiv Power Systems  EPIC F-59</v>
      </c>
      <c r="D24" s="40" t="s">
        <v>374</v>
      </c>
      <c r="E24" s="40">
        <v>2024</v>
      </c>
      <c r="F24" s="40">
        <v>6</v>
      </c>
      <c r="G24" s="90" t="str" cm="1">
        <f t="array" ref="G24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Medium Duty</v>
      </c>
      <c r="H24" s="45">
        <v>19500</v>
      </c>
      <c r="I24" s="41">
        <v>8900</v>
      </c>
      <c r="J24" s="71">
        <v>200000</v>
      </c>
      <c r="K24" s="92" cm="1">
        <f t="array" ref="K24">_xlfn.IFS(EV_DB[[#This Row],[Category]]="Light Duty",'Maintenance costs table'!$D$4,EV_DB[[#This Row],[Category]]="Medium Duty",'Maintenance costs table'!$D$8,EV_DB[[#This Row],[Category]]="Heavy Duty",'Maintenance costs table'!$D$6)</f>
        <v>0.25</v>
      </c>
      <c r="L24" s="42" t="s">
        <v>17</v>
      </c>
      <c r="M24" s="40" t="s">
        <v>377</v>
      </c>
      <c r="N24" s="40">
        <v>0.28000000000000003</v>
      </c>
      <c r="O24" s="40" t="s">
        <v>376</v>
      </c>
      <c r="P24" s="40"/>
      <c r="Q24" s="41">
        <v>169</v>
      </c>
      <c r="R24" s="41" cm="1">
        <f t="array" ref="R24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100000</v>
      </c>
      <c r="S24" s="41"/>
      <c r="T24" s="40" cm="1">
        <f t="array" ref="T24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100000</v>
      </c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95">
        <f>MIN(MAX(EV_DB[[#This Row],[Federal Rebates (iMHZEV) ]],EV_DB[[#This Row],[ON Vehicle Rebates]]),PRODUCT(EV_DB[[#This Row],[Cost, $MSRP
CAD]],0.75))</f>
        <v>100000</v>
      </c>
      <c r="AG24" s="90">
        <f>MIN(EV_DB[[#This Row],[Federal Rebates (iMHZEV) ]]+EV_DB[[#This Row],[BC Vehicle Rebates]],PRODUCT(EV_DB[[#This Row],[Cost, $MSRP
CAD]],0.75))</f>
        <v>150000</v>
      </c>
      <c r="AH24" s="90">
        <f>MIN(EV_DB[[#This Row],[Federal Rebates (iMHZEV) ]]+EV_DB[[#This Row],[QC Vehicle Rebates]],PRODUCT(EV_DB[[#This Row],[Cost, $MSRP
CAD]],0.75))</f>
        <v>100000</v>
      </c>
      <c r="AI24" s="90">
        <f>MIN(MAX(EV_DB[[#This Row],[Federal Rebates (iMHZEV) ]],EV_DB[[#This Row],[AB Vehicle Rebates]]),PRODUCT(EV_DB[[#This Row],[Cost, $MSRP
CAD]],0.75))</f>
        <v>100000</v>
      </c>
      <c r="AJ24" s="90">
        <f>MIN(MAX(EV_DB[[#This Row],[Federal Rebates (iMHZEV) ]],EV_DB[[#This Row],[SC Vehicle Rebates]]),PRODUCT(EV_DB[[#This Row],[Cost, $MSRP
CAD]],0.75))</f>
        <v>100000</v>
      </c>
      <c r="AK24" s="90">
        <f>MIN(MAX(EV_DB[[#This Row],[Federal Rebates (iMHZEV) ]],EV_DB[[#This Row],[NS Vehicle Rebates]]),PRODUCT(EV_DB[[#This Row],[Cost, $MSRP
CAD]],0.75))</f>
        <v>100000</v>
      </c>
      <c r="AL24" s="90">
        <f>MIN(MAX(EV_DB[[#This Row],[Federal Rebates (iMHZEV) ]],EV_DB[[#This Row],[NB Vehicle Rebates]]),PRODUCT(EV_DB[[#This Row],[Cost, $MSRP
CAD]],0.75))</f>
        <v>100000</v>
      </c>
      <c r="AM24" s="90">
        <f>MIN(MAX(EV_DB[[#This Row],[Federal Rebates (iMHZEV) ]],EV_DB[[#This Row],[MB Vehicle Rebates]]),PRODUCT(EV_DB[[#This Row],[Cost, $MSRP
CAD]],0.75))</f>
        <v>100000</v>
      </c>
      <c r="AN24" s="90">
        <f>MIN(MAX(EV_DB[[#This Row],[Federal Rebates (iMHZEV) ]],EV_DB[[#This Row],[PEI Vehicle Rebates]]),PRODUCT(EV_DB[[#This Row],[Cost, $MSRP
CAD]],0.75))</f>
        <v>100000</v>
      </c>
      <c r="AO24" s="90">
        <f>MIN(MAX(EV_DB[[#This Row],[Federal Rebates (iMHZEV) ]],EV_DB[[#This Row],[NL Vehicle Rebates]]),PRODUCT(EV_DB[[#This Row],[Cost, $MSRP
CAD]],0.75))</f>
        <v>100000</v>
      </c>
      <c r="AP24" s="90">
        <f>MIN(MAX(EV_DB[[#This Row],[Federal Rebates (iMHZEV) ]]+EV_DB[[#This Row],[YT Vehicle Rebates]]),PRODUCT(EV_DB[[#This Row],[Cost, $MSRP
CAD]],0.75))</f>
        <v>100000</v>
      </c>
      <c r="AQ24" s="90">
        <f>MIN(MAX(EV_DB[[#This Row],[Federal Rebates (iMHZEV) ]],EV_DB[[#This Row],[NU Vehicle Rebates]]),PRODUCT(EV_DB[[#This Row],[Cost, $MSRP
CAD]],0.75))</f>
        <v>100000</v>
      </c>
      <c r="AR24" s="93">
        <f>MIN(MAX(EV_DB[[#This Row],[Federal Rebates (iMHZEV) ]],EV_DB[[#This Row],[NT Vehicle Rebates]]),PRODUCT(EV_DB[[#This Row],[Cost, $MSRP
CAD]],0.75))</f>
        <v>100000</v>
      </c>
    </row>
    <row r="25" spans="1:45" s="1" customFormat="1" ht="30.95">
      <c r="A25" s="40" t="s">
        <v>372</v>
      </c>
      <c r="B25" s="40" t="s">
        <v>378</v>
      </c>
      <c r="C25" s="90" t="str">
        <f>EV_DB[[#This Row],[Manufacturer  ]]&amp; " " &amp;EV_DB[[#This Row],[Model]]</f>
        <v>Motiv Power Systems EPIC 4/E-450</v>
      </c>
      <c r="D25" s="40" t="s">
        <v>379</v>
      </c>
      <c r="E25" s="40">
        <v>2023</v>
      </c>
      <c r="F25" s="40">
        <v>4</v>
      </c>
      <c r="G25" s="90" t="str" cm="1">
        <f t="array" ref="G25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Medium Duty</v>
      </c>
      <c r="H25" s="45">
        <v>14500</v>
      </c>
      <c r="I25" s="41">
        <v>6000</v>
      </c>
      <c r="J25" s="71">
        <v>180000</v>
      </c>
      <c r="K25" s="92" cm="1">
        <f t="array" ref="K25">_xlfn.IFS(EV_DB[[#This Row],[Category]]="Light Duty",'Maintenance costs table'!$D$4,EV_DB[[#This Row],[Category]]="Medium Duty",'Maintenance costs table'!$D$8,EV_DB[[#This Row],[Category]]="Heavy Duty",'Maintenance costs table'!$D$6)</f>
        <v>0.25</v>
      </c>
      <c r="L25" s="42" t="s">
        <v>17</v>
      </c>
      <c r="M25" s="40" t="s">
        <v>375</v>
      </c>
      <c r="N25" s="40">
        <v>0.26</v>
      </c>
      <c r="O25" s="40" t="s">
        <v>376</v>
      </c>
      <c r="P25" s="40"/>
      <c r="Q25" s="41">
        <v>169</v>
      </c>
      <c r="R25" s="41" cm="1">
        <f t="array" ref="R25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75000</v>
      </c>
      <c r="S25" s="41"/>
      <c r="T25" s="40" cm="1">
        <f t="array" ref="T25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75000</v>
      </c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92">
        <f>MIN(MAX(EV_DB[[#This Row],[Federal Rebates (iMHZEV) ]],EV_DB[[#This Row],[ON Vehicle Rebates]]),PRODUCT(EV_DB[[#This Row],[Cost, $MSRP
CAD]],0.75))</f>
        <v>75000</v>
      </c>
      <c r="AG25" s="90">
        <f>MIN(EV_DB[[#This Row],[Federal Rebates (iMHZEV) ]]+EV_DB[[#This Row],[BC Vehicle Rebates]],PRODUCT(EV_DB[[#This Row],[Cost, $MSRP
CAD]],0.75))</f>
        <v>135000</v>
      </c>
      <c r="AH25" s="90">
        <f>MIN(EV_DB[[#This Row],[Federal Rebates (iMHZEV) ]]+EV_DB[[#This Row],[QC Vehicle Rebates]],PRODUCT(EV_DB[[#This Row],[Cost, $MSRP
CAD]],0.75))</f>
        <v>75000</v>
      </c>
      <c r="AI25" s="90">
        <f>MIN(MAX(EV_DB[[#This Row],[Federal Rebates (iMHZEV) ]],EV_DB[[#This Row],[AB Vehicle Rebates]]),PRODUCT(EV_DB[[#This Row],[Cost, $MSRP
CAD]],0.75))</f>
        <v>75000</v>
      </c>
      <c r="AJ25" s="90">
        <f>MIN(MAX(EV_DB[[#This Row],[Federal Rebates (iMHZEV) ]],EV_DB[[#This Row],[SC Vehicle Rebates]]),PRODUCT(EV_DB[[#This Row],[Cost, $MSRP
CAD]],0.75))</f>
        <v>75000</v>
      </c>
      <c r="AK25" s="90">
        <f>MIN(MAX(EV_DB[[#This Row],[Federal Rebates (iMHZEV) ]],EV_DB[[#This Row],[NS Vehicle Rebates]]),PRODUCT(EV_DB[[#This Row],[Cost, $MSRP
CAD]],0.75))</f>
        <v>75000</v>
      </c>
      <c r="AL25" s="90">
        <f>MIN(MAX(EV_DB[[#This Row],[Federal Rebates (iMHZEV) ]],EV_DB[[#This Row],[NB Vehicle Rebates]]),PRODUCT(EV_DB[[#This Row],[Cost, $MSRP
CAD]],0.75))</f>
        <v>75000</v>
      </c>
      <c r="AM25" s="90">
        <f>MIN(MAX(EV_DB[[#This Row],[Federal Rebates (iMHZEV) ]],EV_DB[[#This Row],[MB Vehicle Rebates]]),PRODUCT(EV_DB[[#This Row],[Cost, $MSRP
CAD]],0.75))</f>
        <v>75000</v>
      </c>
      <c r="AN25" s="90">
        <f>MIN(MAX(EV_DB[[#This Row],[Federal Rebates (iMHZEV) ]],EV_DB[[#This Row],[PEI Vehicle Rebates]]),PRODUCT(EV_DB[[#This Row],[Cost, $MSRP
CAD]],0.75))</f>
        <v>75000</v>
      </c>
      <c r="AO25" s="90">
        <f>MIN(MAX(EV_DB[[#This Row],[Federal Rebates (iMHZEV) ]],EV_DB[[#This Row],[NL Vehicle Rebates]]),PRODUCT(EV_DB[[#This Row],[Cost, $MSRP
CAD]],0.75))</f>
        <v>75000</v>
      </c>
      <c r="AP25" s="90">
        <f>MIN(MAX(EV_DB[[#This Row],[Federal Rebates (iMHZEV) ]]+EV_DB[[#This Row],[YT Vehicle Rebates]]),PRODUCT(EV_DB[[#This Row],[Cost, $MSRP
CAD]],0.75))</f>
        <v>75000</v>
      </c>
      <c r="AQ25" s="90">
        <f>MIN(MAX(EV_DB[[#This Row],[Federal Rebates (iMHZEV) ]],EV_DB[[#This Row],[NU Vehicle Rebates]]),PRODUCT(EV_DB[[#This Row],[Cost, $MSRP
CAD]],0.75))</f>
        <v>75000</v>
      </c>
      <c r="AR25" s="93">
        <f>MIN(MAX(EV_DB[[#This Row],[Federal Rebates (iMHZEV) ]],EV_DB[[#This Row],[NT Vehicle Rebates]]),PRODUCT(EV_DB[[#This Row],[Cost, $MSRP
CAD]],0.75))</f>
        <v>75000</v>
      </c>
    </row>
    <row r="26" spans="1:45" s="1" customFormat="1" ht="30.95">
      <c r="A26" s="40" t="s">
        <v>380</v>
      </c>
      <c r="B26" s="40" t="s">
        <v>381</v>
      </c>
      <c r="C26" s="90" t="str">
        <f>EV_DB[[#This Row],[Manufacturer  ]]&amp; " " &amp;EV_DB[[#This Row],[Model]]</f>
        <v>Micro Bird Commercial G5 Electric</v>
      </c>
      <c r="D26" s="40" t="s">
        <v>382</v>
      </c>
      <c r="E26" s="40">
        <v>2023</v>
      </c>
      <c r="F26" s="40">
        <v>4</v>
      </c>
      <c r="G26" s="90" t="str" cm="1">
        <f t="array" ref="G26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Medium Duty</v>
      </c>
      <c r="H26" s="45">
        <v>14500</v>
      </c>
      <c r="I26" s="41">
        <v>6000</v>
      </c>
      <c r="J26" s="71">
        <v>390000</v>
      </c>
      <c r="K26" s="92" cm="1">
        <f t="array" ref="K26">_xlfn.IFS(EV_DB[[#This Row],[Category]]="Light Duty",'Maintenance costs table'!$D$4,EV_DB[[#This Row],[Category]]="Medium Duty",'Maintenance costs table'!$D$8,EV_DB[[#This Row],[Category]]="Heavy Duty",'Maintenance costs table'!$D$6)</f>
        <v>0.25</v>
      </c>
      <c r="L26" s="42" t="s">
        <v>17</v>
      </c>
      <c r="M26" s="40" t="s">
        <v>366</v>
      </c>
      <c r="N26" s="40">
        <v>0.22</v>
      </c>
      <c r="O26" s="40" t="s">
        <v>383</v>
      </c>
      <c r="P26" s="40">
        <v>350</v>
      </c>
      <c r="Q26" s="41">
        <v>160</v>
      </c>
      <c r="R26" s="41" cm="1">
        <f t="array" ref="R26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75000</v>
      </c>
      <c r="S26" s="41"/>
      <c r="T26" s="40" cm="1">
        <f t="array" ref="T26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75000</v>
      </c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92">
        <f>MIN(MAX(EV_DB[[#This Row],[Federal Rebates (iMHZEV) ]],EV_DB[[#This Row],[ON Vehicle Rebates]]),PRODUCT(EV_DB[[#This Row],[Cost, $MSRP
CAD]],0.75))</f>
        <v>75000</v>
      </c>
      <c r="AG26" s="90">
        <f>MIN(EV_DB[[#This Row],[Federal Rebates (iMHZEV) ]]+EV_DB[[#This Row],[BC Vehicle Rebates]],PRODUCT(EV_DB[[#This Row],[Cost, $MSRP
CAD]],0.75))</f>
        <v>150000</v>
      </c>
      <c r="AH26" s="90">
        <f>MIN(EV_DB[[#This Row],[Federal Rebates (iMHZEV) ]]+EV_DB[[#This Row],[QC Vehicle Rebates]],PRODUCT(EV_DB[[#This Row],[Cost, $MSRP
CAD]],0.75))</f>
        <v>75000</v>
      </c>
      <c r="AI26" s="90">
        <f>MIN(MAX(EV_DB[[#This Row],[Federal Rebates (iMHZEV) ]],EV_DB[[#This Row],[AB Vehicle Rebates]]),PRODUCT(EV_DB[[#This Row],[Cost, $MSRP
CAD]],0.75))</f>
        <v>75000</v>
      </c>
      <c r="AJ26" s="90">
        <f>MIN(MAX(EV_DB[[#This Row],[Federal Rebates (iMHZEV) ]],EV_DB[[#This Row],[SC Vehicle Rebates]]),PRODUCT(EV_DB[[#This Row],[Cost, $MSRP
CAD]],0.75))</f>
        <v>75000</v>
      </c>
      <c r="AK26" s="90">
        <f>MIN(MAX(EV_DB[[#This Row],[Federal Rebates (iMHZEV) ]],EV_DB[[#This Row],[NS Vehicle Rebates]]),PRODUCT(EV_DB[[#This Row],[Cost, $MSRP
CAD]],0.75))</f>
        <v>75000</v>
      </c>
      <c r="AL26" s="90">
        <f>MIN(MAX(EV_DB[[#This Row],[Federal Rebates (iMHZEV) ]],EV_DB[[#This Row],[NB Vehicle Rebates]]),PRODUCT(EV_DB[[#This Row],[Cost, $MSRP
CAD]],0.75))</f>
        <v>75000</v>
      </c>
      <c r="AM26" s="90">
        <f>MIN(MAX(EV_DB[[#This Row],[Federal Rebates (iMHZEV) ]],EV_DB[[#This Row],[MB Vehicle Rebates]]),PRODUCT(EV_DB[[#This Row],[Cost, $MSRP
CAD]],0.75))</f>
        <v>75000</v>
      </c>
      <c r="AN26" s="90">
        <f>MIN(MAX(EV_DB[[#This Row],[Federal Rebates (iMHZEV) ]],EV_DB[[#This Row],[PEI Vehicle Rebates]]),PRODUCT(EV_DB[[#This Row],[Cost, $MSRP
CAD]],0.75))</f>
        <v>75000</v>
      </c>
      <c r="AO26" s="90">
        <f>MIN(MAX(EV_DB[[#This Row],[Federal Rebates (iMHZEV) ]],EV_DB[[#This Row],[NL Vehicle Rebates]]),PRODUCT(EV_DB[[#This Row],[Cost, $MSRP
CAD]],0.75))</f>
        <v>75000</v>
      </c>
      <c r="AP26" s="90">
        <f>MIN(MAX(EV_DB[[#This Row],[Federal Rebates (iMHZEV) ]]+EV_DB[[#This Row],[YT Vehicle Rebates]]),PRODUCT(EV_DB[[#This Row],[Cost, $MSRP
CAD]],0.75))</f>
        <v>75000</v>
      </c>
      <c r="AQ26" s="90">
        <f>MIN(MAX(EV_DB[[#This Row],[Federal Rebates (iMHZEV) ]],EV_DB[[#This Row],[NU Vehicle Rebates]]),PRODUCT(EV_DB[[#This Row],[Cost, $MSRP
CAD]],0.75))</f>
        <v>75000</v>
      </c>
      <c r="AR26" s="93">
        <f>MIN(MAX(EV_DB[[#This Row],[Federal Rebates (iMHZEV) ]],EV_DB[[#This Row],[NT Vehicle Rebates]]),PRODUCT(EV_DB[[#This Row],[Cost, $MSRP
CAD]],0.75))</f>
        <v>75000</v>
      </c>
    </row>
    <row r="27" spans="1:45" s="1" customFormat="1" ht="62.1">
      <c r="A27" s="40" t="s">
        <v>384</v>
      </c>
      <c r="B27" s="40" t="s">
        <v>385</v>
      </c>
      <c r="C27" s="90" t="str">
        <f>EV_DB[[#This Row],[Manufacturer  ]]&amp; " " &amp;EV_DB[[#This Row],[Model]]</f>
        <v xml:space="preserve">GreenPower Motor Company  EV Star CC </v>
      </c>
      <c r="D27" s="40" t="s">
        <v>386</v>
      </c>
      <c r="E27" s="40">
        <v>2023</v>
      </c>
      <c r="F27" s="40">
        <v>5</v>
      </c>
      <c r="G27" s="90" t="str" cm="1">
        <f t="array" ref="G27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Medium Duty</v>
      </c>
      <c r="H27" s="45">
        <v>14300</v>
      </c>
      <c r="I27" s="41">
        <v>7000</v>
      </c>
      <c r="J27" s="71">
        <v>212900</v>
      </c>
      <c r="K27" s="92" cm="1">
        <f t="array" ref="K27">_xlfn.IFS(EV_DB[[#This Row],[Category]]="Light Duty",'Maintenance costs table'!$D$4,EV_DB[[#This Row],[Category]]="Medium Duty",'Maintenance costs table'!$D$8,EV_DB[[#This Row],[Category]]="Heavy Duty",'Maintenance costs table'!$D$6)</f>
        <v>0.25</v>
      </c>
      <c r="L27" s="42" t="s">
        <v>17</v>
      </c>
      <c r="M27" s="40" t="s">
        <v>387</v>
      </c>
      <c r="N27" s="40">
        <v>0.26</v>
      </c>
      <c r="O27" s="40" t="s">
        <v>388</v>
      </c>
      <c r="P27" s="40">
        <v>576</v>
      </c>
      <c r="Q27" s="41">
        <v>400</v>
      </c>
      <c r="R27" s="41" cm="1">
        <f t="array" ref="R27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75000</v>
      </c>
      <c r="S27" s="41"/>
      <c r="T27" s="40" cm="1">
        <f t="array" ref="T27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75000</v>
      </c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92">
        <f>MIN(MAX(EV_DB[[#This Row],[Federal Rebates (iMHZEV) ]],EV_DB[[#This Row],[ON Vehicle Rebates]]),PRODUCT(EV_DB[[#This Row],[Cost, $MSRP
CAD]],0.75))</f>
        <v>75000</v>
      </c>
      <c r="AG27" s="90">
        <f>MIN(EV_DB[[#This Row],[Federal Rebates (iMHZEV) ]]+EV_DB[[#This Row],[BC Vehicle Rebates]],PRODUCT(EV_DB[[#This Row],[Cost, $MSRP
CAD]],0.75))</f>
        <v>150000</v>
      </c>
      <c r="AH27" s="90">
        <f>MIN(EV_DB[[#This Row],[Federal Rebates (iMHZEV) ]]+EV_DB[[#This Row],[QC Vehicle Rebates]],PRODUCT(EV_DB[[#This Row],[Cost, $MSRP
CAD]],0.75))</f>
        <v>75000</v>
      </c>
      <c r="AI27" s="90">
        <f>MIN(MAX(EV_DB[[#This Row],[Federal Rebates (iMHZEV) ]],EV_DB[[#This Row],[AB Vehicle Rebates]]),PRODUCT(EV_DB[[#This Row],[Cost, $MSRP
CAD]],0.75))</f>
        <v>75000</v>
      </c>
      <c r="AJ27" s="90">
        <f>MIN(MAX(EV_DB[[#This Row],[Federal Rebates (iMHZEV) ]],EV_DB[[#This Row],[SC Vehicle Rebates]]),PRODUCT(EV_DB[[#This Row],[Cost, $MSRP
CAD]],0.75))</f>
        <v>75000</v>
      </c>
      <c r="AK27" s="90">
        <f>MIN(MAX(EV_DB[[#This Row],[Federal Rebates (iMHZEV) ]],EV_DB[[#This Row],[NS Vehicle Rebates]]),PRODUCT(EV_DB[[#This Row],[Cost, $MSRP
CAD]],0.75))</f>
        <v>75000</v>
      </c>
      <c r="AL27" s="90">
        <f>MIN(MAX(EV_DB[[#This Row],[Federal Rebates (iMHZEV) ]],EV_DB[[#This Row],[NB Vehicle Rebates]]),PRODUCT(EV_DB[[#This Row],[Cost, $MSRP
CAD]],0.75))</f>
        <v>75000</v>
      </c>
      <c r="AM27" s="90">
        <f>MIN(MAX(EV_DB[[#This Row],[Federal Rebates (iMHZEV) ]],EV_DB[[#This Row],[MB Vehicle Rebates]]),PRODUCT(EV_DB[[#This Row],[Cost, $MSRP
CAD]],0.75))</f>
        <v>75000</v>
      </c>
      <c r="AN27" s="90">
        <f>MIN(MAX(EV_DB[[#This Row],[Federal Rebates (iMHZEV) ]],EV_DB[[#This Row],[PEI Vehicle Rebates]]),PRODUCT(EV_DB[[#This Row],[Cost, $MSRP
CAD]],0.75))</f>
        <v>75000</v>
      </c>
      <c r="AO27" s="90">
        <f>MIN(MAX(EV_DB[[#This Row],[Federal Rebates (iMHZEV) ]],EV_DB[[#This Row],[NL Vehicle Rebates]]),PRODUCT(EV_DB[[#This Row],[Cost, $MSRP
CAD]],0.75))</f>
        <v>75000</v>
      </c>
      <c r="AP27" s="90">
        <f>MIN(MAX(EV_DB[[#This Row],[Federal Rebates (iMHZEV) ]]+EV_DB[[#This Row],[YT Vehicle Rebates]]),PRODUCT(EV_DB[[#This Row],[Cost, $MSRP
CAD]],0.75))</f>
        <v>75000</v>
      </c>
      <c r="AQ27" s="90">
        <f>MIN(MAX(EV_DB[[#This Row],[Federal Rebates (iMHZEV) ]],EV_DB[[#This Row],[NU Vehicle Rebates]]),PRODUCT(EV_DB[[#This Row],[Cost, $MSRP
CAD]],0.75))</f>
        <v>75000</v>
      </c>
      <c r="AR27" s="93">
        <f>MIN(MAX(EV_DB[[#This Row],[Federal Rebates (iMHZEV) ]],EV_DB[[#This Row],[NT Vehicle Rebates]]),PRODUCT(EV_DB[[#This Row],[Cost, $MSRP
CAD]],0.75))</f>
        <v>75000</v>
      </c>
    </row>
    <row r="28" spans="1:45" s="1" customFormat="1" ht="30.95">
      <c r="A28" s="40" t="s">
        <v>389</v>
      </c>
      <c r="B28" s="40" t="s">
        <v>390</v>
      </c>
      <c r="C28" s="90" t="str">
        <f>EV_DB[[#This Row],[Manufacturer  ]]&amp; " " &amp;EV_DB[[#This Row],[Model]]</f>
        <v xml:space="preserve">BYD  6F </v>
      </c>
      <c r="D28" s="40" t="s">
        <v>391</v>
      </c>
      <c r="E28" s="40">
        <v>2024</v>
      </c>
      <c r="F28" s="40">
        <v>6</v>
      </c>
      <c r="G28" s="90" t="str" cm="1">
        <f t="array" ref="G28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Medium Duty</v>
      </c>
      <c r="H28" s="40" t="s">
        <v>392</v>
      </c>
      <c r="I28" s="41">
        <v>15639</v>
      </c>
      <c r="J28" s="71">
        <v>300000</v>
      </c>
      <c r="K28" s="92" cm="1">
        <f t="array" ref="K28">_xlfn.IFS(EV_DB[[#This Row],[Category]]="Light Duty",'Maintenance costs table'!$D$4,EV_DB[[#This Row],[Category]]="Medium Duty",'Maintenance costs table'!$D$8,EV_DB[[#This Row],[Category]]="Heavy Duty",'Maintenance costs table'!$D$6)</f>
        <v>0.25</v>
      </c>
      <c r="L28" s="42" t="s">
        <v>17</v>
      </c>
      <c r="M28" s="40" t="s">
        <v>393</v>
      </c>
      <c r="N28" s="40">
        <v>0.3</v>
      </c>
      <c r="O28" s="40" t="s">
        <v>394</v>
      </c>
      <c r="P28" s="40"/>
      <c r="Q28" s="41">
        <v>250</v>
      </c>
      <c r="R28" s="41" cm="1">
        <f t="array" ref="R28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100000</v>
      </c>
      <c r="S28" s="41"/>
      <c r="T28" s="40" cm="1">
        <f t="array" ref="T28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100000</v>
      </c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92">
        <f>MIN(MAX(EV_DB[[#This Row],[Federal Rebates (iMHZEV) ]],EV_DB[[#This Row],[ON Vehicle Rebates]]),PRODUCT(EV_DB[[#This Row],[Cost, $MSRP
CAD]],0.75))</f>
        <v>100000</v>
      </c>
      <c r="AG28" s="90">
        <f>MIN(EV_DB[[#This Row],[Federal Rebates (iMHZEV) ]]+EV_DB[[#This Row],[BC Vehicle Rebates]],PRODUCT(EV_DB[[#This Row],[Cost, $MSRP
CAD]],0.75))</f>
        <v>200000</v>
      </c>
      <c r="AH28" s="90">
        <f>MIN(EV_DB[[#This Row],[Federal Rebates (iMHZEV) ]]+EV_DB[[#This Row],[QC Vehicle Rebates]],PRODUCT(EV_DB[[#This Row],[Cost, $MSRP
CAD]],0.75))</f>
        <v>100000</v>
      </c>
      <c r="AI28" s="90">
        <f>MIN(MAX(EV_DB[[#This Row],[Federal Rebates (iMHZEV) ]],EV_DB[[#This Row],[AB Vehicle Rebates]]),PRODUCT(EV_DB[[#This Row],[Cost, $MSRP
CAD]],0.75))</f>
        <v>100000</v>
      </c>
      <c r="AJ28" s="90">
        <f>MIN(MAX(EV_DB[[#This Row],[Federal Rebates (iMHZEV) ]],EV_DB[[#This Row],[SC Vehicle Rebates]]),PRODUCT(EV_DB[[#This Row],[Cost, $MSRP
CAD]],0.75))</f>
        <v>100000</v>
      </c>
      <c r="AK28" s="90">
        <f>MIN(MAX(EV_DB[[#This Row],[Federal Rebates (iMHZEV) ]],EV_DB[[#This Row],[NS Vehicle Rebates]]),PRODUCT(EV_DB[[#This Row],[Cost, $MSRP
CAD]],0.75))</f>
        <v>100000</v>
      </c>
      <c r="AL28" s="90">
        <f>MIN(MAX(EV_DB[[#This Row],[Federal Rebates (iMHZEV) ]],EV_DB[[#This Row],[NB Vehicle Rebates]]),PRODUCT(EV_DB[[#This Row],[Cost, $MSRP
CAD]],0.75))</f>
        <v>100000</v>
      </c>
      <c r="AM28" s="90">
        <f>MIN(MAX(EV_DB[[#This Row],[Federal Rebates (iMHZEV) ]],EV_DB[[#This Row],[MB Vehicle Rebates]]),PRODUCT(EV_DB[[#This Row],[Cost, $MSRP
CAD]],0.75))</f>
        <v>100000</v>
      </c>
      <c r="AN28" s="90">
        <f>MIN(MAX(EV_DB[[#This Row],[Federal Rebates (iMHZEV) ]],EV_DB[[#This Row],[PEI Vehicle Rebates]]),PRODUCT(EV_DB[[#This Row],[Cost, $MSRP
CAD]],0.75))</f>
        <v>100000</v>
      </c>
      <c r="AO28" s="90">
        <f>MIN(MAX(EV_DB[[#This Row],[Federal Rebates (iMHZEV) ]],EV_DB[[#This Row],[NL Vehicle Rebates]]),PRODUCT(EV_DB[[#This Row],[Cost, $MSRP
CAD]],0.75))</f>
        <v>100000</v>
      </c>
      <c r="AP28" s="90">
        <f>MIN(MAX(EV_DB[[#This Row],[Federal Rebates (iMHZEV) ]]+EV_DB[[#This Row],[YT Vehicle Rebates]]),PRODUCT(EV_DB[[#This Row],[Cost, $MSRP
CAD]],0.75))</f>
        <v>100000</v>
      </c>
      <c r="AQ28" s="90">
        <f>MIN(MAX(EV_DB[[#This Row],[Federal Rebates (iMHZEV) ]],EV_DB[[#This Row],[NU Vehicle Rebates]]),PRODUCT(EV_DB[[#This Row],[Cost, $MSRP
CAD]],0.75))</f>
        <v>100000</v>
      </c>
      <c r="AR28" s="93">
        <f>MIN(MAX(EV_DB[[#This Row],[Federal Rebates (iMHZEV) ]],EV_DB[[#This Row],[NT Vehicle Rebates]]),PRODUCT(EV_DB[[#This Row],[Cost, $MSRP
CAD]],0.75))</f>
        <v>100000</v>
      </c>
    </row>
    <row r="29" spans="1:45" s="1" customFormat="1" ht="46.5">
      <c r="A29" s="40" t="s">
        <v>395</v>
      </c>
      <c r="B29" s="40" t="s">
        <v>396</v>
      </c>
      <c r="C29" s="90" t="str">
        <f>EV_DB[[#This Row],[Manufacturer  ]]&amp; " " &amp;EV_DB[[#This Row],[Model]]</f>
        <v>XOS SV 20'</v>
      </c>
      <c r="D29" s="40" t="s">
        <v>374</v>
      </c>
      <c r="E29" s="40">
        <v>2023</v>
      </c>
      <c r="F29" s="40">
        <v>6</v>
      </c>
      <c r="G29" s="90" t="str" cm="1">
        <f t="array" ref="G29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Medium Duty</v>
      </c>
      <c r="H29" s="40" t="s">
        <v>397</v>
      </c>
      <c r="I29" s="41">
        <v>16000</v>
      </c>
      <c r="J29" s="71">
        <v>334000</v>
      </c>
      <c r="K29" s="92" cm="1">
        <f t="array" ref="K29">_xlfn.IFS(EV_DB[[#This Row],[Category]]="Light Duty",'Maintenance costs table'!$D$4,EV_DB[[#This Row],[Category]]="Medium Duty",'Maintenance costs table'!$D$8,EV_DB[[#This Row],[Category]]="Heavy Duty",'Maintenance costs table'!$D$6)</f>
        <v>0.25</v>
      </c>
      <c r="L29" s="42" t="s">
        <v>17</v>
      </c>
      <c r="M29" s="40" t="s">
        <v>398</v>
      </c>
      <c r="N29" s="40">
        <v>0.28000000000000003</v>
      </c>
      <c r="O29" s="40" t="s">
        <v>399</v>
      </c>
      <c r="P29" s="40"/>
      <c r="Q29" s="41">
        <v>241</v>
      </c>
      <c r="R29" s="41" cm="1">
        <f t="array" ref="R29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100000</v>
      </c>
      <c r="S29" s="41"/>
      <c r="T29" s="40" cm="1">
        <f t="array" ref="T29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100000</v>
      </c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92">
        <f>MIN(MAX(EV_DB[[#This Row],[Federal Rebates (iMHZEV) ]],EV_DB[[#This Row],[ON Vehicle Rebates]]),PRODUCT(EV_DB[[#This Row],[Cost, $MSRP
CAD]],0.75))</f>
        <v>100000</v>
      </c>
      <c r="AG29" s="90">
        <f>MIN(EV_DB[[#This Row],[Federal Rebates (iMHZEV) ]]+EV_DB[[#This Row],[BC Vehicle Rebates]],PRODUCT(EV_DB[[#This Row],[Cost, $MSRP
CAD]],0.75))</f>
        <v>200000</v>
      </c>
      <c r="AH29" s="90">
        <f>MIN(EV_DB[[#This Row],[Federal Rebates (iMHZEV) ]]+EV_DB[[#This Row],[QC Vehicle Rebates]],PRODUCT(EV_DB[[#This Row],[Cost, $MSRP
CAD]],0.75))</f>
        <v>100000</v>
      </c>
      <c r="AI29" s="90">
        <f>MIN(MAX(EV_DB[[#This Row],[Federal Rebates (iMHZEV) ]],EV_DB[[#This Row],[AB Vehicle Rebates]]),PRODUCT(EV_DB[[#This Row],[Cost, $MSRP
CAD]],0.75))</f>
        <v>100000</v>
      </c>
      <c r="AJ29" s="90">
        <f>MIN(MAX(EV_DB[[#This Row],[Federal Rebates (iMHZEV) ]],EV_DB[[#This Row],[SC Vehicle Rebates]]),PRODUCT(EV_DB[[#This Row],[Cost, $MSRP
CAD]],0.75))</f>
        <v>100000</v>
      </c>
      <c r="AK29" s="90">
        <f>MIN(MAX(EV_DB[[#This Row],[Federal Rebates (iMHZEV) ]],EV_DB[[#This Row],[NS Vehicle Rebates]]),PRODUCT(EV_DB[[#This Row],[Cost, $MSRP
CAD]],0.75))</f>
        <v>100000</v>
      </c>
      <c r="AL29" s="90">
        <f>MIN(MAX(EV_DB[[#This Row],[Federal Rebates (iMHZEV) ]],EV_DB[[#This Row],[NB Vehicle Rebates]]),PRODUCT(EV_DB[[#This Row],[Cost, $MSRP
CAD]],0.75))</f>
        <v>100000</v>
      </c>
      <c r="AM29" s="90">
        <f>MIN(MAX(EV_DB[[#This Row],[Federal Rebates (iMHZEV) ]],EV_DB[[#This Row],[MB Vehicle Rebates]]),PRODUCT(EV_DB[[#This Row],[Cost, $MSRP
CAD]],0.75))</f>
        <v>100000</v>
      </c>
      <c r="AN29" s="90">
        <f>MIN(MAX(EV_DB[[#This Row],[Federal Rebates (iMHZEV) ]],EV_DB[[#This Row],[PEI Vehicle Rebates]]),PRODUCT(EV_DB[[#This Row],[Cost, $MSRP
CAD]],0.75))</f>
        <v>100000</v>
      </c>
      <c r="AO29" s="90">
        <f>MIN(MAX(EV_DB[[#This Row],[Federal Rebates (iMHZEV) ]],EV_DB[[#This Row],[NL Vehicle Rebates]]),PRODUCT(EV_DB[[#This Row],[Cost, $MSRP
CAD]],0.75))</f>
        <v>100000</v>
      </c>
      <c r="AP29" s="90">
        <f>MIN(MAX(EV_DB[[#This Row],[Federal Rebates (iMHZEV) ]]+EV_DB[[#This Row],[YT Vehicle Rebates]]),PRODUCT(EV_DB[[#This Row],[Cost, $MSRP
CAD]],0.75))</f>
        <v>100000</v>
      </c>
      <c r="AQ29" s="90">
        <f>MIN(MAX(EV_DB[[#This Row],[Federal Rebates (iMHZEV) ]],EV_DB[[#This Row],[NU Vehicle Rebates]]),PRODUCT(EV_DB[[#This Row],[Cost, $MSRP
CAD]],0.75))</f>
        <v>100000</v>
      </c>
      <c r="AR29" s="93">
        <f>MIN(MAX(EV_DB[[#This Row],[Federal Rebates (iMHZEV) ]],EV_DB[[#This Row],[NT Vehicle Rebates]]),PRODUCT(EV_DB[[#This Row],[Cost, $MSRP
CAD]],0.75))</f>
        <v>100000</v>
      </c>
    </row>
    <row r="30" spans="1:45" s="1" customFormat="1" ht="30.95">
      <c r="A30" s="40" t="s">
        <v>400</v>
      </c>
      <c r="B30" s="40" t="s">
        <v>401</v>
      </c>
      <c r="C30" s="90" t="str">
        <f>EV_DB[[#This Row],[Manufacturer  ]]&amp; " " &amp;EV_DB[[#This Row],[Model]]</f>
        <v>EVT Motors  High Roof Logistics Van</v>
      </c>
      <c r="D30" s="40" t="s">
        <v>402</v>
      </c>
      <c r="E30" s="40">
        <v>2023</v>
      </c>
      <c r="F30" s="40">
        <v>4</v>
      </c>
      <c r="G30" s="90" t="str" cm="1">
        <f t="array" ref="G30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Medium Duty</v>
      </c>
      <c r="H30" s="45">
        <v>14200</v>
      </c>
      <c r="I30" s="41">
        <v>7800</v>
      </c>
      <c r="J30" s="71">
        <v>200000</v>
      </c>
      <c r="K30" s="92" cm="1">
        <f t="array" ref="K30">_xlfn.IFS(EV_DB[[#This Row],[Category]]="Light Duty",'Maintenance costs table'!$D$4,EV_DB[[#This Row],[Category]]="Medium Duty",'Maintenance costs table'!$D$8,EV_DB[[#This Row],[Category]]="Heavy Duty",'Maintenance costs table'!$D$6)</f>
        <v>0.25</v>
      </c>
      <c r="L30" s="42" t="s">
        <v>17</v>
      </c>
      <c r="M30" s="40" t="s">
        <v>403</v>
      </c>
      <c r="N30" s="40">
        <v>0.27</v>
      </c>
      <c r="O30" s="40"/>
      <c r="P30" s="40"/>
      <c r="Q30" s="41">
        <v>273</v>
      </c>
      <c r="R30" s="41" cm="1">
        <f t="array" ref="R30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75000</v>
      </c>
      <c r="S30" s="41"/>
      <c r="T30" s="40" cm="1">
        <f t="array" ref="T30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75000</v>
      </c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92">
        <f>MIN(MAX(EV_DB[[#This Row],[Federal Rebates (iMHZEV) ]],EV_DB[[#This Row],[ON Vehicle Rebates]]),PRODUCT(EV_DB[[#This Row],[Cost, $MSRP
CAD]],0.75))</f>
        <v>75000</v>
      </c>
      <c r="AG30" s="90">
        <f>MIN(EV_DB[[#This Row],[Federal Rebates (iMHZEV) ]]+EV_DB[[#This Row],[BC Vehicle Rebates]],PRODUCT(EV_DB[[#This Row],[Cost, $MSRP
CAD]],0.75))</f>
        <v>150000</v>
      </c>
      <c r="AH30" s="90">
        <f>MIN(EV_DB[[#This Row],[Federal Rebates (iMHZEV) ]]+EV_DB[[#This Row],[QC Vehicle Rebates]],PRODUCT(EV_DB[[#This Row],[Cost, $MSRP
CAD]],0.75))</f>
        <v>75000</v>
      </c>
      <c r="AI30" s="90">
        <f>MIN(MAX(EV_DB[[#This Row],[Federal Rebates (iMHZEV) ]],EV_DB[[#This Row],[AB Vehicle Rebates]]),PRODUCT(EV_DB[[#This Row],[Cost, $MSRP
CAD]],0.75))</f>
        <v>75000</v>
      </c>
      <c r="AJ30" s="90">
        <f>MIN(MAX(EV_DB[[#This Row],[Federal Rebates (iMHZEV) ]],EV_DB[[#This Row],[SC Vehicle Rebates]]),PRODUCT(EV_DB[[#This Row],[Cost, $MSRP
CAD]],0.75))</f>
        <v>75000</v>
      </c>
      <c r="AK30" s="90">
        <f>MIN(MAX(EV_DB[[#This Row],[Federal Rebates (iMHZEV) ]],EV_DB[[#This Row],[NS Vehicle Rebates]]),PRODUCT(EV_DB[[#This Row],[Cost, $MSRP
CAD]],0.75))</f>
        <v>75000</v>
      </c>
      <c r="AL30" s="90">
        <f>MIN(MAX(EV_DB[[#This Row],[Federal Rebates (iMHZEV) ]],EV_DB[[#This Row],[NB Vehicle Rebates]]),PRODUCT(EV_DB[[#This Row],[Cost, $MSRP
CAD]],0.75))</f>
        <v>75000</v>
      </c>
      <c r="AM30" s="90">
        <f>MIN(MAX(EV_DB[[#This Row],[Federal Rebates (iMHZEV) ]],EV_DB[[#This Row],[MB Vehicle Rebates]]),PRODUCT(EV_DB[[#This Row],[Cost, $MSRP
CAD]],0.75))</f>
        <v>75000</v>
      </c>
      <c r="AN30" s="90">
        <f>MIN(MAX(EV_DB[[#This Row],[Federal Rebates (iMHZEV) ]],EV_DB[[#This Row],[PEI Vehicle Rebates]]),PRODUCT(EV_DB[[#This Row],[Cost, $MSRP
CAD]],0.75))</f>
        <v>75000</v>
      </c>
      <c r="AO30" s="90">
        <f>MIN(MAX(EV_DB[[#This Row],[Federal Rebates (iMHZEV) ]],EV_DB[[#This Row],[NL Vehicle Rebates]]),PRODUCT(EV_DB[[#This Row],[Cost, $MSRP
CAD]],0.75))</f>
        <v>75000</v>
      </c>
      <c r="AP30" s="90">
        <f>MIN(MAX(EV_DB[[#This Row],[Federal Rebates (iMHZEV) ]]+EV_DB[[#This Row],[YT Vehicle Rebates]]),PRODUCT(EV_DB[[#This Row],[Cost, $MSRP
CAD]],0.75))</f>
        <v>75000</v>
      </c>
      <c r="AQ30" s="90">
        <f>MIN(MAX(EV_DB[[#This Row],[Federal Rebates (iMHZEV) ]],EV_DB[[#This Row],[NU Vehicle Rebates]]),PRODUCT(EV_DB[[#This Row],[Cost, $MSRP
CAD]],0.75))</f>
        <v>75000</v>
      </c>
      <c r="AR30" s="93">
        <f>MIN(MAX(EV_DB[[#This Row],[Federal Rebates (iMHZEV) ]],EV_DB[[#This Row],[NT Vehicle Rebates]]),PRODUCT(EV_DB[[#This Row],[Cost, $MSRP
CAD]],0.75))</f>
        <v>75000</v>
      </c>
    </row>
    <row r="31" spans="1:45" s="1" customFormat="1" ht="15.6">
      <c r="A31" s="40" t="s">
        <v>404</v>
      </c>
      <c r="B31" s="40" t="s">
        <v>405</v>
      </c>
      <c r="C31" s="90" t="str">
        <f>EV_DB[[#This Row],[Manufacturer  ]]&amp; " " &amp;EV_DB[[#This Row],[Model]]</f>
        <v>Freightliner MT50e</v>
      </c>
      <c r="D31" s="40" t="s">
        <v>406</v>
      </c>
      <c r="E31" s="40">
        <v>2024</v>
      </c>
      <c r="F31" s="40">
        <v>5</v>
      </c>
      <c r="G31" s="90" t="str" cm="1">
        <f t="array" ref="G31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Medium Duty</v>
      </c>
      <c r="H31" s="40" t="s">
        <v>407</v>
      </c>
      <c r="I31" s="41">
        <v>19800</v>
      </c>
      <c r="J31" s="71">
        <v>262595</v>
      </c>
      <c r="K31" s="92" cm="1">
        <f t="array" ref="K31">_xlfn.IFS(EV_DB[[#This Row],[Category]]="Light Duty",'Maintenance costs table'!$D$4,EV_DB[[#This Row],[Category]]="Medium Duty",'Maintenance costs table'!$D$8,EV_DB[[#This Row],[Category]]="Heavy Duty",'Maintenance costs table'!$D$6)</f>
        <v>0.25</v>
      </c>
      <c r="L31" s="42" t="s">
        <v>17</v>
      </c>
      <c r="M31" s="40" t="s">
        <v>408</v>
      </c>
      <c r="N31" s="40">
        <v>0.28999999999999998</v>
      </c>
      <c r="O31" s="40"/>
      <c r="P31" s="40"/>
      <c r="Q31" s="41">
        <v>290</v>
      </c>
      <c r="R31" s="41" cm="1">
        <f t="array" ref="R31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75000</v>
      </c>
      <c r="S31" s="41"/>
      <c r="T31" s="40" cm="1">
        <f t="array" ref="T31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75000</v>
      </c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92">
        <f>MIN(MAX(EV_DB[[#This Row],[Federal Rebates (iMHZEV) ]],EV_DB[[#This Row],[ON Vehicle Rebates]]),PRODUCT(EV_DB[[#This Row],[Cost, $MSRP
CAD]],0.75))</f>
        <v>75000</v>
      </c>
      <c r="AG31" s="90">
        <f>MIN(EV_DB[[#This Row],[Federal Rebates (iMHZEV) ]]+EV_DB[[#This Row],[BC Vehicle Rebates]],PRODUCT(EV_DB[[#This Row],[Cost, $MSRP
CAD]],0.75))</f>
        <v>150000</v>
      </c>
      <c r="AH31" s="90">
        <f>MIN(EV_DB[[#This Row],[Federal Rebates (iMHZEV) ]]+EV_DB[[#This Row],[QC Vehicle Rebates]],PRODUCT(EV_DB[[#This Row],[Cost, $MSRP
CAD]],0.75))</f>
        <v>75000</v>
      </c>
      <c r="AI31" s="90">
        <f>MIN(MAX(EV_DB[[#This Row],[Federal Rebates (iMHZEV) ]],EV_DB[[#This Row],[AB Vehicle Rebates]]),PRODUCT(EV_DB[[#This Row],[Cost, $MSRP
CAD]],0.75))</f>
        <v>75000</v>
      </c>
      <c r="AJ31" s="90">
        <f>MIN(MAX(EV_DB[[#This Row],[Federal Rebates (iMHZEV) ]],EV_DB[[#This Row],[SC Vehicle Rebates]]),PRODUCT(EV_DB[[#This Row],[Cost, $MSRP
CAD]],0.75))</f>
        <v>75000</v>
      </c>
      <c r="AK31" s="90">
        <f>MIN(MAX(EV_DB[[#This Row],[Federal Rebates (iMHZEV) ]],EV_DB[[#This Row],[NS Vehicle Rebates]]),PRODUCT(EV_DB[[#This Row],[Cost, $MSRP
CAD]],0.75))</f>
        <v>75000</v>
      </c>
      <c r="AL31" s="90">
        <f>MIN(MAX(EV_DB[[#This Row],[Federal Rebates (iMHZEV) ]],EV_DB[[#This Row],[NB Vehicle Rebates]]),PRODUCT(EV_DB[[#This Row],[Cost, $MSRP
CAD]],0.75))</f>
        <v>75000</v>
      </c>
      <c r="AM31" s="90">
        <f>MIN(MAX(EV_DB[[#This Row],[Federal Rebates (iMHZEV) ]],EV_DB[[#This Row],[MB Vehicle Rebates]]),PRODUCT(EV_DB[[#This Row],[Cost, $MSRP
CAD]],0.75))</f>
        <v>75000</v>
      </c>
      <c r="AN31" s="90">
        <f>MIN(MAX(EV_DB[[#This Row],[Federal Rebates (iMHZEV) ]],EV_DB[[#This Row],[PEI Vehicle Rebates]]),PRODUCT(EV_DB[[#This Row],[Cost, $MSRP
CAD]],0.75))</f>
        <v>75000</v>
      </c>
      <c r="AO31" s="90">
        <f>MIN(MAX(EV_DB[[#This Row],[Federal Rebates (iMHZEV) ]],EV_DB[[#This Row],[NL Vehicle Rebates]]),PRODUCT(EV_DB[[#This Row],[Cost, $MSRP
CAD]],0.75))</f>
        <v>75000</v>
      </c>
      <c r="AP31" s="90">
        <f>MIN(MAX(EV_DB[[#This Row],[Federal Rebates (iMHZEV) ]]+EV_DB[[#This Row],[YT Vehicle Rebates]]),PRODUCT(EV_DB[[#This Row],[Cost, $MSRP
CAD]],0.75))</f>
        <v>75000</v>
      </c>
      <c r="AQ31" s="90">
        <f>MIN(MAX(EV_DB[[#This Row],[Federal Rebates (iMHZEV) ]],EV_DB[[#This Row],[NU Vehicle Rebates]]),PRODUCT(EV_DB[[#This Row],[Cost, $MSRP
CAD]],0.75))</f>
        <v>75000</v>
      </c>
      <c r="AR31" s="93">
        <f>MIN(MAX(EV_DB[[#This Row],[Federal Rebates (iMHZEV) ]],EV_DB[[#This Row],[NT Vehicle Rebates]]),PRODUCT(EV_DB[[#This Row],[Cost, $MSRP
CAD]],0.75))</f>
        <v>75000</v>
      </c>
    </row>
    <row r="32" spans="1:45" s="1" customFormat="1" ht="15.6">
      <c r="A32" s="40" t="s">
        <v>404</v>
      </c>
      <c r="B32" s="40" t="s">
        <v>405</v>
      </c>
      <c r="C32" s="90" t="s">
        <v>409</v>
      </c>
      <c r="D32" s="40" t="s">
        <v>406</v>
      </c>
      <c r="E32" s="40">
        <v>2024</v>
      </c>
      <c r="F32" s="40">
        <v>6</v>
      </c>
      <c r="G32" s="90" t="str" cm="1">
        <f t="array" ref="G32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Medium Duty</v>
      </c>
      <c r="H32" s="40">
        <v>23000</v>
      </c>
      <c r="I32" s="41">
        <v>19800</v>
      </c>
      <c r="J32" s="71">
        <v>272595</v>
      </c>
      <c r="K32" s="92" cm="1">
        <f t="array" ref="K32">_xlfn.IFS(EV_DB[[#This Row],[Category]]="Light Duty",'Maintenance costs table'!$D$4,EV_DB[[#This Row],[Category]]="Medium Duty",'Maintenance costs table'!$D$8,EV_DB[[#This Row],[Category]]="Heavy Duty",'Maintenance costs table'!$D$6)</f>
        <v>0.25</v>
      </c>
      <c r="L32" s="42" t="s">
        <v>17</v>
      </c>
      <c r="M32" s="40" t="s">
        <v>408</v>
      </c>
      <c r="N32" s="40">
        <v>0.28999999999999998</v>
      </c>
      <c r="O32" s="40"/>
      <c r="P32" s="40"/>
      <c r="Q32" s="41">
        <v>290</v>
      </c>
      <c r="R32" s="41" cm="1">
        <f t="array" ref="R32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100000</v>
      </c>
      <c r="S32" s="41"/>
      <c r="T32" s="40" cm="1">
        <f t="array" ref="T32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100000</v>
      </c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95">
        <f>MIN(MAX(EV_DB[[#This Row],[Federal Rebates (iMHZEV) ]],EV_DB[[#This Row],[ON Vehicle Rebates]]),PRODUCT(EV_DB[[#This Row],[Cost, $MSRP
CAD]],0.75))</f>
        <v>100000</v>
      </c>
      <c r="AG32" s="90">
        <f>MIN(EV_DB[[#This Row],[Federal Rebates (iMHZEV) ]]+EV_DB[[#This Row],[BC Vehicle Rebates]],PRODUCT(EV_DB[[#This Row],[Cost, $MSRP
CAD]],0.75))</f>
        <v>200000</v>
      </c>
      <c r="AH32" s="90">
        <f>MIN(EV_DB[[#This Row],[Federal Rebates (iMHZEV) ]]+EV_DB[[#This Row],[QC Vehicle Rebates]],PRODUCT(EV_DB[[#This Row],[Cost, $MSRP
CAD]],0.75))</f>
        <v>100000</v>
      </c>
      <c r="AI32" s="90">
        <f>MIN(MAX(EV_DB[[#This Row],[Federal Rebates (iMHZEV) ]],EV_DB[[#This Row],[AB Vehicle Rebates]]),PRODUCT(EV_DB[[#This Row],[Cost, $MSRP
CAD]],0.75))</f>
        <v>100000</v>
      </c>
      <c r="AJ32" s="90">
        <f>MIN(MAX(EV_DB[[#This Row],[Federal Rebates (iMHZEV) ]],EV_DB[[#This Row],[SC Vehicle Rebates]]),PRODUCT(EV_DB[[#This Row],[Cost, $MSRP
CAD]],0.75))</f>
        <v>100000</v>
      </c>
      <c r="AK32" s="90">
        <f>MIN(MAX(EV_DB[[#This Row],[Federal Rebates (iMHZEV) ]],EV_DB[[#This Row],[NS Vehicle Rebates]]),PRODUCT(EV_DB[[#This Row],[Cost, $MSRP
CAD]],0.75))</f>
        <v>100000</v>
      </c>
      <c r="AL32" s="90">
        <f>MIN(MAX(EV_DB[[#This Row],[Federal Rebates (iMHZEV) ]],EV_DB[[#This Row],[NB Vehicle Rebates]]),PRODUCT(EV_DB[[#This Row],[Cost, $MSRP
CAD]],0.75))</f>
        <v>100000</v>
      </c>
      <c r="AM32" s="90">
        <f>MIN(MAX(EV_DB[[#This Row],[Federal Rebates (iMHZEV) ]],EV_DB[[#This Row],[MB Vehicle Rebates]]),PRODUCT(EV_DB[[#This Row],[Cost, $MSRP
CAD]],0.75))</f>
        <v>100000</v>
      </c>
      <c r="AN32" s="90">
        <f>MIN(MAX(EV_DB[[#This Row],[Federal Rebates (iMHZEV) ]],EV_DB[[#This Row],[PEI Vehicle Rebates]]),PRODUCT(EV_DB[[#This Row],[Cost, $MSRP
CAD]],0.75))</f>
        <v>100000</v>
      </c>
      <c r="AO32" s="90">
        <f>MIN(MAX(EV_DB[[#This Row],[Federal Rebates (iMHZEV) ]],EV_DB[[#This Row],[NL Vehicle Rebates]]),PRODUCT(EV_DB[[#This Row],[Cost, $MSRP
CAD]],0.75))</f>
        <v>100000</v>
      </c>
      <c r="AP32" s="90">
        <f>MIN(MAX(EV_DB[[#This Row],[Federal Rebates (iMHZEV) ]]+EV_DB[[#This Row],[YT Vehicle Rebates]]),PRODUCT(EV_DB[[#This Row],[Cost, $MSRP
CAD]],0.75))</f>
        <v>100000</v>
      </c>
      <c r="AQ32" s="90">
        <f>MIN(MAX(EV_DB[[#This Row],[Federal Rebates (iMHZEV) ]],EV_DB[[#This Row],[NU Vehicle Rebates]]),PRODUCT(EV_DB[[#This Row],[Cost, $MSRP
CAD]],0.75))</f>
        <v>100000</v>
      </c>
      <c r="AR32" s="93">
        <f>MIN(MAX(EV_DB[[#This Row],[Federal Rebates (iMHZEV) ]],EV_DB[[#This Row],[NT Vehicle Rebates]]),PRODUCT(EV_DB[[#This Row],[Cost, $MSRP
CAD]],0.75))</f>
        <v>100000</v>
      </c>
    </row>
    <row r="33" spans="1:44" s="1" customFormat="1" ht="15.6">
      <c r="A33" s="40" t="s">
        <v>410</v>
      </c>
      <c r="B33" s="40" t="s">
        <v>411</v>
      </c>
      <c r="C33" s="90" t="str">
        <f>EV_DB[[#This Row],[Manufacturer  ]]&amp; " " &amp;EV_DB[[#This Row],[Model]]</f>
        <v xml:space="preserve">Lion Lion6 </v>
      </c>
      <c r="D33" s="40" t="s">
        <v>412</v>
      </c>
      <c r="E33" s="40">
        <v>2024</v>
      </c>
      <c r="F33" s="40">
        <v>6</v>
      </c>
      <c r="G33" s="90" t="str" cm="1">
        <f t="array" ref="G33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Medium Duty</v>
      </c>
      <c r="H33" s="45">
        <v>26000</v>
      </c>
      <c r="I33" s="41">
        <v>15500</v>
      </c>
      <c r="J33" s="71">
        <v>375000</v>
      </c>
      <c r="K33" s="92" cm="1">
        <f t="array" ref="K33">_xlfn.IFS(EV_DB[[#This Row],[Category]]="Light Duty",'Maintenance costs table'!$D$4,EV_DB[[#This Row],[Category]]="Medium Duty",'Maintenance costs table'!$D$8,EV_DB[[#This Row],[Category]]="Heavy Duty",'Maintenance costs table'!$D$6)</f>
        <v>0.25</v>
      </c>
      <c r="L33" s="42" t="s">
        <v>17</v>
      </c>
      <c r="M33" s="40" t="s">
        <v>413</v>
      </c>
      <c r="N33" s="40">
        <v>0.31</v>
      </c>
      <c r="O33" s="40"/>
      <c r="P33" s="40"/>
      <c r="Q33" s="41">
        <v>350</v>
      </c>
      <c r="R33" s="41" cm="1">
        <f t="array" ref="R33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100000</v>
      </c>
      <c r="S33" s="41"/>
      <c r="T33" s="40" cm="1">
        <f t="array" ref="T33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100000</v>
      </c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92">
        <f>MIN(MAX(EV_DB[[#This Row],[Federal Rebates (iMHZEV) ]],EV_DB[[#This Row],[ON Vehicle Rebates]]),PRODUCT(EV_DB[[#This Row],[Cost, $MSRP
CAD]],0.75))</f>
        <v>100000</v>
      </c>
      <c r="AG33" s="90">
        <f>MIN(EV_DB[[#This Row],[Federal Rebates (iMHZEV) ]]+EV_DB[[#This Row],[BC Vehicle Rebates]],PRODUCT(EV_DB[[#This Row],[Cost, $MSRP
CAD]],0.75))</f>
        <v>200000</v>
      </c>
      <c r="AH33" s="90">
        <f>MIN(EV_DB[[#This Row],[Federal Rebates (iMHZEV) ]]+EV_DB[[#This Row],[QC Vehicle Rebates]],PRODUCT(EV_DB[[#This Row],[Cost, $MSRP
CAD]],0.75))</f>
        <v>100000</v>
      </c>
      <c r="AI33" s="90">
        <f>MIN(MAX(EV_DB[[#This Row],[Federal Rebates (iMHZEV) ]],EV_DB[[#This Row],[AB Vehicle Rebates]]),PRODUCT(EV_DB[[#This Row],[Cost, $MSRP
CAD]],0.75))</f>
        <v>100000</v>
      </c>
      <c r="AJ33" s="90">
        <f>MIN(MAX(EV_DB[[#This Row],[Federal Rebates (iMHZEV) ]],EV_DB[[#This Row],[SC Vehicle Rebates]]),PRODUCT(EV_DB[[#This Row],[Cost, $MSRP
CAD]],0.75))</f>
        <v>100000</v>
      </c>
      <c r="AK33" s="90">
        <f>MIN(MAX(EV_DB[[#This Row],[Federal Rebates (iMHZEV) ]],EV_DB[[#This Row],[NS Vehicle Rebates]]),PRODUCT(EV_DB[[#This Row],[Cost, $MSRP
CAD]],0.75))</f>
        <v>100000</v>
      </c>
      <c r="AL33" s="90">
        <f>MIN(MAX(EV_DB[[#This Row],[Federal Rebates (iMHZEV) ]],EV_DB[[#This Row],[NB Vehicle Rebates]]),PRODUCT(EV_DB[[#This Row],[Cost, $MSRP
CAD]],0.75))</f>
        <v>100000</v>
      </c>
      <c r="AM33" s="90">
        <f>MIN(MAX(EV_DB[[#This Row],[Federal Rebates (iMHZEV) ]],EV_DB[[#This Row],[MB Vehicle Rebates]]),PRODUCT(EV_DB[[#This Row],[Cost, $MSRP
CAD]],0.75))</f>
        <v>100000</v>
      </c>
      <c r="AN33" s="90">
        <f>MIN(MAX(EV_DB[[#This Row],[Federal Rebates (iMHZEV) ]],EV_DB[[#This Row],[PEI Vehicle Rebates]]),PRODUCT(EV_DB[[#This Row],[Cost, $MSRP
CAD]],0.75))</f>
        <v>100000</v>
      </c>
      <c r="AO33" s="90">
        <f>MIN(MAX(EV_DB[[#This Row],[Federal Rebates (iMHZEV) ]],EV_DB[[#This Row],[NL Vehicle Rebates]]),PRODUCT(EV_DB[[#This Row],[Cost, $MSRP
CAD]],0.75))</f>
        <v>100000</v>
      </c>
      <c r="AP33" s="90">
        <f>MIN(MAX(EV_DB[[#This Row],[Federal Rebates (iMHZEV) ]]+EV_DB[[#This Row],[YT Vehicle Rebates]]),PRODUCT(EV_DB[[#This Row],[Cost, $MSRP
CAD]],0.75))</f>
        <v>100000</v>
      </c>
      <c r="AQ33" s="90">
        <f>MIN(MAX(EV_DB[[#This Row],[Federal Rebates (iMHZEV) ]],EV_DB[[#This Row],[NU Vehicle Rebates]]),PRODUCT(EV_DB[[#This Row],[Cost, $MSRP
CAD]],0.75))</f>
        <v>100000</v>
      </c>
      <c r="AR33" s="93">
        <f>MIN(MAX(EV_DB[[#This Row],[Federal Rebates (iMHZEV) ]],EV_DB[[#This Row],[NT Vehicle Rebates]]),PRODUCT(EV_DB[[#This Row],[Cost, $MSRP
CAD]],0.75))</f>
        <v>100000</v>
      </c>
    </row>
    <row r="34" spans="1:44" s="1" customFormat="1" ht="15.6">
      <c r="A34" s="40" t="s">
        <v>410</v>
      </c>
      <c r="B34" s="40" t="s">
        <v>414</v>
      </c>
      <c r="C34" s="90" t="str">
        <f>EV_DB[[#This Row],[Manufacturer  ]]&amp; " " &amp;EV_DB[[#This Row],[Model]]</f>
        <v>Lion Lion5</v>
      </c>
      <c r="D34" s="40" t="s">
        <v>412</v>
      </c>
      <c r="E34" s="40">
        <v>2024</v>
      </c>
      <c r="F34" s="40">
        <v>5</v>
      </c>
      <c r="G34" s="90" t="str" cm="1">
        <f t="array" ref="G34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Medium Duty</v>
      </c>
      <c r="H34" s="40" t="s">
        <v>415</v>
      </c>
      <c r="I34" s="41">
        <v>12500</v>
      </c>
      <c r="J34" s="71">
        <v>320000</v>
      </c>
      <c r="K34" s="92" cm="1">
        <f t="array" ref="K34">_xlfn.IFS(EV_DB[[#This Row],[Category]]="Light Duty",'Maintenance costs table'!$D$4,EV_DB[[#This Row],[Category]]="Medium Duty",'Maintenance costs table'!$D$8,EV_DB[[#This Row],[Category]]="Heavy Duty",'Maintenance costs table'!$D$6)</f>
        <v>0.25</v>
      </c>
      <c r="L34" s="42" t="s">
        <v>17</v>
      </c>
      <c r="M34" s="40" t="s">
        <v>416</v>
      </c>
      <c r="N34" s="40">
        <v>0.3</v>
      </c>
      <c r="O34" s="40"/>
      <c r="P34" s="40"/>
      <c r="Q34" s="41">
        <v>305</v>
      </c>
      <c r="R34" s="41" cm="1">
        <f t="array" ref="R34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75000</v>
      </c>
      <c r="S34" s="41"/>
      <c r="T34" s="40" cm="1">
        <f t="array" ref="T34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75000</v>
      </c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92">
        <f>MIN(MAX(EV_DB[[#This Row],[Federal Rebates (iMHZEV) ]],EV_DB[[#This Row],[ON Vehicle Rebates]]),PRODUCT(EV_DB[[#This Row],[Cost, $MSRP
CAD]],0.75))</f>
        <v>75000</v>
      </c>
      <c r="AG34" s="90">
        <f>MIN(EV_DB[[#This Row],[Federal Rebates (iMHZEV) ]]+EV_DB[[#This Row],[BC Vehicle Rebates]],PRODUCT(EV_DB[[#This Row],[Cost, $MSRP
CAD]],0.75))</f>
        <v>150000</v>
      </c>
      <c r="AH34" s="90">
        <f>MIN(EV_DB[[#This Row],[Federal Rebates (iMHZEV) ]]+EV_DB[[#This Row],[QC Vehicle Rebates]],PRODUCT(EV_DB[[#This Row],[Cost, $MSRP
CAD]],0.75))</f>
        <v>75000</v>
      </c>
      <c r="AI34" s="90">
        <f>MIN(MAX(EV_DB[[#This Row],[Federal Rebates (iMHZEV) ]],EV_DB[[#This Row],[AB Vehicle Rebates]]),PRODUCT(EV_DB[[#This Row],[Cost, $MSRP
CAD]],0.75))</f>
        <v>75000</v>
      </c>
      <c r="AJ34" s="90">
        <f>MIN(MAX(EV_DB[[#This Row],[Federal Rebates (iMHZEV) ]],EV_DB[[#This Row],[SC Vehicle Rebates]]),PRODUCT(EV_DB[[#This Row],[Cost, $MSRP
CAD]],0.75))</f>
        <v>75000</v>
      </c>
      <c r="AK34" s="90">
        <f>MIN(MAX(EV_DB[[#This Row],[Federal Rebates (iMHZEV) ]],EV_DB[[#This Row],[NS Vehicle Rebates]]),PRODUCT(EV_DB[[#This Row],[Cost, $MSRP
CAD]],0.75))</f>
        <v>75000</v>
      </c>
      <c r="AL34" s="90">
        <f>MIN(MAX(EV_DB[[#This Row],[Federal Rebates (iMHZEV) ]],EV_DB[[#This Row],[NB Vehicle Rebates]]),PRODUCT(EV_DB[[#This Row],[Cost, $MSRP
CAD]],0.75))</f>
        <v>75000</v>
      </c>
      <c r="AM34" s="90">
        <f>MIN(MAX(EV_DB[[#This Row],[Federal Rebates (iMHZEV) ]],EV_DB[[#This Row],[MB Vehicle Rebates]]),PRODUCT(EV_DB[[#This Row],[Cost, $MSRP
CAD]],0.75))</f>
        <v>75000</v>
      </c>
      <c r="AN34" s="90">
        <f>MIN(MAX(EV_DB[[#This Row],[Federal Rebates (iMHZEV) ]],EV_DB[[#This Row],[PEI Vehicle Rebates]]),PRODUCT(EV_DB[[#This Row],[Cost, $MSRP
CAD]],0.75))</f>
        <v>75000</v>
      </c>
      <c r="AO34" s="90">
        <f>MIN(MAX(EV_DB[[#This Row],[Federal Rebates (iMHZEV) ]],EV_DB[[#This Row],[NL Vehicle Rebates]]),PRODUCT(EV_DB[[#This Row],[Cost, $MSRP
CAD]],0.75))</f>
        <v>75000</v>
      </c>
      <c r="AP34" s="90">
        <f>MIN(MAX(EV_DB[[#This Row],[Federal Rebates (iMHZEV) ]]+EV_DB[[#This Row],[YT Vehicle Rebates]]),PRODUCT(EV_DB[[#This Row],[Cost, $MSRP
CAD]],0.75))</f>
        <v>75000</v>
      </c>
      <c r="AQ34" s="90">
        <f>MIN(MAX(EV_DB[[#This Row],[Federal Rebates (iMHZEV) ]],EV_DB[[#This Row],[NU Vehicle Rebates]]),PRODUCT(EV_DB[[#This Row],[Cost, $MSRP
CAD]],0.75))</f>
        <v>75000</v>
      </c>
      <c r="AR34" s="93">
        <f>MIN(MAX(EV_DB[[#This Row],[Federal Rebates (iMHZEV) ]],EV_DB[[#This Row],[NT Vehicle Rebates]]),PRODUCT(EV_DB[[#This Row],[Cost, $MSRP
CAD]],0.75))</f>
        <v>75000</v>
      </c>
    </row>
    <row r="35" spans="1:44" s="1" customFormat="1" ht="62.1">
      <c r="A35" s="40" t="s">
        <v>417</v>
      </c>
      <c r="B35" s="40" t="s">
        <v>418</v>
      </c>
      <c r="C35" s="90" t="str">
        <f>EV_DB[[#This Row],[Manufacturer  ]]&amp; " " &amp;EV_DB[[#This Row],[Model]]</f>
        <v xml:space="preserve">International Navistar eMV </v>
      </c>
      <c r="D35" s="40" t="s">
        <v>391</v>
      </c>
      <c r="E35" s="40">
        <v>2024</v>
      </c>
      <c r="F35" s="40">
        <v>6</v>
      </c>
      <c r="G35" s="90" t="str" cm="1">
        <f t="array" ref="G35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Medium Duty</v>
      </c>
      <c r="H35" s="40" t="s">
        <v>419</v>
      </c>
      <c r="I35" s="41">
        <v>11000</v>
      </c>
      <c r="J35" s="71" t="s">
        <v>420</v>
      </c>
      <c r="K35" s="92" cm="1">
        <f t="array" ref="K35">_xlfn.IFS(EV_DB[[#This Row],[Category]]="Light Duty",'Maintenance costs table'!$D$4,EV_DB[[#This Row],[Category]]="Medium Duty",'Maintenance costs table'!$D$8,EV_DB[[#This Row],[Category]]="Heavy Duty",'Maintenance costs table'!$D$6)</f>
        <v>0.25</v>
      </c>
      <c r="L35" s="42" t="s">
        <v>17</v>
      </c>
      <c r="M35" s="40" t="s">
        <v>416</v>
      </c>
      <c r="N35" s="40">
        <v>0.32</v>
      </c>
      <c r="O35" s="40" t="s">
        <v>421</v>
      </c>
      <c r="P35" s="40">
        <v>609</v>
      </c>
      <c r="Q35" s="41">
        <v>200</v>
      </c>
      <c r="R35" s="41" cm="1">
        <f t="array" ref="R35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100000</v>
      </c>
      <c r="S35" s="41"/>
      <c r="T35" s="40" cm="1">
        <f t="array" ref="T35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100000</v>
      </c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92">
        <f>MIN(MAX(EV_DB[[#This Row],[Federal Rebates (iMHZEV) ]],EV_DB[[#This Row],[ON Vehicle Rebates]]),PRODUCT(EV_DB[[#This Row],[Cost, $MSRP
CAD]],0.75))</f>
        <v>0.75</v>
      </c>
      <c r="AG35" s="90">
        <f>MIN(EV_DB[[#This Row],[Federal Rebates (iMHZEV) ]]+EV_DB[[#This Row],[BC Vehicle Rebates]],PRODUCT(EV_DB[[#This Row],[Cost, $MSRP
CAD]],0.75))</f>
        <v>0.75</v>
      </c>
      <c r="AH35" s="90">
        <f>MIN(EV_DB[[#This Row],[Federal Rebates (iMHZEV) ]]+EV_DB[[#This Row],[QC Vehicle Rebates]],PRODUCT(EV_DB[[#This Row],[Cost, $MSRP
CAD]],0.75))</f>
        <v>0.75</v>
      </c>
      <c r="AI35" s="90">
        <f>MIN(MAX(EV_DB[[#This Row],[Federal Rebates (iMHZEV) ]],EV_DB[[#This Row],[AB Vehicle Rebates]]),PRODUCT(EV_DB[[#This Row],[Cost, $MSRP
CAD]],0.75))</f>
        <v>0.75</v>
      </c>
      <c r="AJ35" s="90">
        <f>MIN(MAX(EV_DB[[#This Row],[Federal Rebates (iMHZEV) ]],EV_DB[[#This Row],[SC Vehicle Rebates]]),PRODUCT(EV_DB[[#This Row],[Cost, $MSRP
CAD]],0.75))</f>
        <v>0.75</v>
      </c>
      <c r="AK35" s="90">
        <f>MIN(MAX(EV_DB[[#This Row],[Federal Rebates (iMHZEV) ]],EV_DB[[#This Row],[NS Vehicle Rebates]]),PRODUCT(EV_DB[[#This Row],[Cost, $MSRP
CAD]],0.75))</f>
        <v>0.75</v>
      </c>
      <c r="AL35" s="90">
        <f>MIN(MAX(EV_DB[[#This Row],[Federal Rebates (iMHZEV) ]],EV_DB[[#This Row],[NB Vehicle Rebates]]),PRODUCT(EV_DB[[#This Row],[Cost, $MSRP
CAD]],0.75))</f>
        <v>0.75</v>
      </c>
      <c r="AM35" s="90">
        <f>MIN(MAX(EV_DB[[#This Row],[Federal Rebates (iMHZEV) ]],EV_DB[[#This Row],[MB Vehicle Rebates]]),PRODUCT(EV_DB[[#This Row],[Cost, $MSRP
CAD]],0.75))</f>
        <v>0.75</v>
      </c>
      <c r="AN35" s="90">
        <f>MIN(MAX(EV_DB[[#This Row],[Federal Rebates (iMHZEV) ]],EV_DB[[#This Row],[PEI Vehicle Rebates]]),PRODUCT(EV_DB[[#This Row],[Cost, $MSRP
CAD]],0.75))</f>
        <v>0.75</v>
      </c>
      <c r="AO35" s="90">
        <f>MIN(MAX(EV_DB[[#This Row],[Federal Rebates (iMHZEV) ]],EV_DB[[#This Row],[NL Vehicle Rebates]]),PRODUCT(EV_DB[[#This Row],[Cost, $MSRP
CAD]],0.75))</f>
        <v>0.75</v>
      </c>
      <c r="AP35" s="90">
        <f>MIN(MAX(EV_DB[[#This Row],[Federal Rebates (iMHZEV) ]]+EV_DB[[#This Row],[YT Vehicle Rebates]]),PRODUCT(EV_DB[[#This Row],[Cost, $MSRP
CAD]],0.75))</f>
        <v>0.75</v>
      </c>
      <c r="AQ35" s="90">
        <f>MIN(MAX(EV_DB[[#This Row],[Federal Rebates (iMHZEV) ]],EV_DB[[#This Row],[NU Vehicle Rebates]]),PRODUCT(EV_DB[[#This Row],[Cost, $MSRP
CAD]],0.75))</f>
        <v>0.75</v>
      </c>
      <c r="AR35" s="93">
        <f>MIN(MAX(EV_DB[[#This Row],[Federal Rebates (iMHZEV) ]],EV_DB[[#This Row],[NT Vehicle Rebates]]),PRODUCT(EV_DB[[#This Row],[Cost, $MSRP
CAD]],0.75))</f>
        <v>0.75</v>
      </c>
    </row>
    <row r="36" spans="1:44" s="1" customFormat="1" ht="30.95">
      <c r="A36" s="40" t="s">
        <v>315</v>
      </c>
      <c r="B36" s="40" t="s">
        <v>422</v>
      </c>
      <c r="C36" s="90" t="str">
        <f>EV_DB[[#This Row],[Manufacturer  ]]&amp; " " &amp;EV_DB[[#This Row],[Model]]</f>
        <v>Mercedes-Benz Daimler eActros 600</v>
      </c>
      <c r="D36" s="40" t="s">
        <v>423</v>
      </c>
      <c r="E36" s="40">
        <v>2025</v>
      </c>
      <c r="F36" s="40">
        <v>6</v>
      </c>
      <c r="G36" s="90" t="str" cm="1">
        <f t="array" ref="G36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Medium Duty</v>
      </c>
      <c r="H36" s="40" t="s">
        <v>424</v>
      </c>
      <c r="I36" s="41">
        <v>48501</v>
      </c>
      <c r="J36" s="71">
        <v>500000</v>
      </c>
      <c r="K36" s="92" cm="1">
        <f t="array" ref="K36">_xlfn.IFS(EV_DB[[#This Row],[Category]]="Light Duty",'Maintenance costs table'!$D$4,EV_DB[[#This Row],[Category]]="Medium Duty",'Maintenance costs table'!$D$8,EV_DB[[#This Row],[Category]]="Heavy Duty",'Maintenance costs table'!$D$6)</f>
        <v>0.25</v>
      </c>
      <c r="L36" s="42" t="s">
        <v>17</v>
      </c>
      <c r="M36" s="40" t="s">
        <v>425</v>
      </c>
      <c r="N36" s="40">
        <v>0.22</v>
      </c>
      <c r="O36" s="40" t="s">
        <v>426</v>
      </c>
      <c r="P36" s="40"/>
      <c r="Q36" s="41">
        <v>500</v>
      </c>
      <c r="R36" s="41" cm="1">
        <f t="array" ref="R36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100000</v>
      </c>
      <c r="S36" s="41"/>
      <c r="T36" s="40" cm="1">
        <f t="array" ref="T36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100000</v>
      </c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92">
        <f>MIN(MAX(EV_DB[[#This Row],[Federal Rebates (iMHZEV) ]],EV_DB[[#This Row],[ON Vehicle Rebates]]),PRODUCT(EV_DB[[#This Row],[Cost, $MSRP
CAD]],0.75))</f>
        <v>100000</v>
      </c>
      <c r="AG36" s="90">
        <f>MIN(EV_DB[[#This Row],[Federal Rebates (iMHZEV) ]]+EV_DB[[#This Row],[BC Vehicle Rebates]],PRODUCT(EV_DB[[#This Row],[Cost, $MSRP
CAD]],0.75))</f>
        <v>200000</v>
      </c>
      <c r="AH36" s="90">
        <f>MIN(EV_DB[[#This Row],[Federal Rebates (iMHZEV) ]]+EV_DB[[#This Row],[QC Vehicle Rebates]],PRODUCT(EV_DB[[#This Row],[Cost, $MSRP
CAD]],0.75))</f>
        <v>100000</v>
      </c>
      <c r="AI36" s="90">
        <f>MIN(MAX(EV_DB[[#This Row],[Federal Rebates (iMHZEV) ]],EV_DB[[#This Row],[AB Vehicle Rebates]]),PRODUCT(EV_DB[[#This Row],[Cost, $MSRP
CAD]],0.75))</f>
        <v>100000</v>
      </c>
      <c r="AJ36" s="90">
        <f>MIN(MAX(EV_DB[[#This Row],[Federal Rebates (iMHZEV) ]],EV_DB[[#This Row],[SC Vehicle Rebates]]),PRODUCT(EV_DB[[#This Row],[Cost, $MSRP
CAD]],0.75))</f>
        <v>100000</v>
      </c>
      <c r="AK36" s="90">
        <f>MIN(MAX(EV_DB[[#This Row],[Federal Rebates (iMHZEV) ]],EV_DB[[#This Row],[NS Vehicle Rebates]]),PRODUCT(EV_DB[[#This Row],[Cost, $MSRP
CAD]],0.75))</f>
        <v>100000</v>
      </c>
      <c r="AL36" s="90">
        <f>MIN(MAX(EV_DB[[#This Row],[Federal Rebates (iMHZEV) ]],EV_DB[[#This Row],[NB Vehicle Rebates]]),PRODUCT(EV_DB[[#This Row],[Cost, $MSRP
CAD]],0.75))</f>
        <v>100000</v>
      </c>
      <c r="AM36" s="90">
        <f>MIN(MAX(EV_DB[[#This Row],[Federal Rebates (iMHZEV) ]],EV_DB[[#This Row],[MB Vehicle Rebates]]),PRODUCT(EV_DB[[#This Row],[Cost, $MSRP
CAD]],0.75))</f>
        <v>100000</v>
      </c>
      <c r="AN36" s="90">
        <f>MIN(MAX(EV_DB[[#This Row],[Federal Rebates (iMHZEV) ]],EV_DB[[#This Row],[PEI Vehicle Rebates]]),PRODUCT(EV_DB[[#This Row],[Cost, $MSRP
CAD]],0.75))</f>
        <v>100000</v>
      </c>
      <c r="AO36" s="90">
        <f>MIN(MAX(EV_DB[[#This Row],[Federal Rebates (iMHZEV) ]],EV_DB[[#This Row],[NL Vehicle Rebates]]),PRODUCT(EV_DB[[#This Row],[Cost, $MSRP
CAD]],0.75))</f>
        <v>100000</v>
      </c>
      <c r="AP36" s="90">
        <f>MIN(MAX(EV_DB[[#This Row],[Federal Rebates (iMHZEV) ]]+EV_DB[[#This Row],[YT Vehicle Rebates]]),PRODUCT(EV_DB[[#This Row],[Cost, $MSRP
CAD]],0.75))</f>
        <v>100000</v>
      </c>
      <c r="AQ36" s="90">
        <f>MIN(MAX(EV_DB[[#This Row],[Federal Rebates (iMHZEV) ]],EV_DB[[#This Row],[NU Vehicle Rebates]]),PRODUCT(EV_DB[[#This Row],[Cost, $MSRP
CAD]],0.75))</f>
        <v>100000</v>
      </c>
      <c r="AR36" s="93">
        <f>MIN(MAX(EV_DB[[#This Row],[Federal Rebates (iMHZEV) ]],EV_DB[[#This Row],[NT Vehicle Rebates]]),PRODUCT(EV_DB[[#This Row],[Cost, $MSRP
CAD]],0.75))</f>
        <v>100000</v>
      </c>
    </row>
    <row r="37" spans="1:44" s="1" customFormat="1" ht="30.95">
      <c r="A37" s="40" t="s">
        <v>427</v>
      </c>
      <c r="B37" s="40" t="s">
        <v>428</v>
      </c>
      <c r="C37" s="90" t="str">
        <f>EV_DB[[#This Row],[Manufacturer  ]]&amp; " " &amp;EV_DB[[#This Row],[Model]]</f>
        <v xml:space="preserve">Lightning eMotors  6500XD Cab  </v>
      </c>
      <c r="D37" s="40" t="s">
        <v>429</v>
      </c>
      <c r="E37" s="40">
        <v>2023</v>
      </c>
      <c r="F37" s="40">
        <v>6</v>
      </c>
      <c r="G37" s="90" t="str" cm="1">
        <f t="array" ref="G37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Medium Duty</v>
      </c>
      <c r="H37" s="40" t="s">
        <v>430</v>
      </c>
      <c r="I37" s="41">
        <v>15000</v>
      </c>
      <c r="J37" s="71">
        <v>341678</v>
      </c>
      <c r="K37" s="92" cm="1">
        <f t="array" ref="K37">_xlfn.IFS(EV_DB[[#This Row],[Category]]="Light Duty",'Maintenance costs table'!$D$4,EV_DB[[#This Row],[Category]]="Medium Duty",'Maintenance costs table'!$D$8,EV_DB[[#This Row],[Category]]="Heavy Duty",'Maintenance costs table'!$D$6)</f>
        <v>0.25</v>
      </c>
      <c r="L37" s="42" t="s">
        <v>17</v>
      </c>
      <c r="M37" s="40" t="s">
        <v>431</v>
      </c>
      <c r="N37" s="40">
        <v>0.3</v>
      </c>
      <c r="O37" s="40" t="s">
        <v>432</v>
      </c>
      <c r="P37" s="40"/>
      <c r="Q37" s="41">
        <v>210</v>
      </c>
      <c r="R37" s="41" cm="1">
        <f t="array" ref="R37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100000</v>
      </c>
      <c r="S37" s="41"/>
      <c r="T37" s="40" cm="1">
        <f t="array" ref="T37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100000</v>
      </c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92">
        <f>MIN(MAX(EV_DB[[#This Row],[Federal Rebates (iMHZEV) ]],EV_DB[[#This Row],[ON Vehicle Rebates]]),PRODUCT(EV_DB[[#This Row],[Cost, $MSRP
CAD]],0.75))</f>
        <v>100000</v>
      </c>
      <c r="AG37" s="90">
        <f>MIN(EV_DB[[#This Row],[Federal Rebates (iMHZEV) ]]+EV_DB[[#This Row],[BC Vehicle Rebates]],PRODUCT(EV_DB[[#This Row],[Cost, $MSRP
CAD]],0.75))</f>
        <v>200000</v>
      </c>
      <c r="AH37" s="90">
        <f>MIN(EV_DB[[#This Row],[Federal Rebates (iMHZEV) ]]+EV_DB[[#This Row],[QC Vehicle Rebates]],PRODUCT(EV_DB[[#This Row],[Cost, $MSRP
CAD]],0.75))</f>
        <v>100000</v>
      </c>
      <c r="AI37" s="90">
        <f>MIN(MAX(EV_DB[[#This Row],[Federal Rebates (iMHZEV) ]],EV_DB[[#This Row],[AB Vehicle Rebates]]),PRODUCT(EV_DB[[#This Row],[Cost, $MSRP
CAD]],0.75))</f>
        <v>100000</v>
      </c>
      <c r="AJ37" s="90">
        <f>MIN(MAX(EV_DB[[#This Row],[Federal Rebates (iMHZEV) ]],EV_DB[[#This Row],[SC Vehicle Rebates]]),PRODUCT(EV_DB[[#This Row],[Cost, $MSRP
CAD]],0.75))</f>
        <v>100000</v>
      </c>
      <c r="AK37" s="90">
        <f>MIN(MAX(EV_DB[[#This Row],[Federal Rebates (iMHZEV) ]],EV_DB[[#This Row],[NS Vehicle Rebates]]),PRODUCT(EV_DB[[#This Row],[Cost, $MSRP
CAD]],0.75))</f>
        <v>100000</v>
      </c>
      <c r="AL37" s="90">
        <f>MIN(MAX(EV_DB[[#This Row],[Federal Rebates (iMHZEV) ]],EV_DB[[#This Row],[NB Vehicle Rebates]]),PRODUCT(EV_DB[[#This Row],[Cost, $MSRP
CAD]],0.75))</f>
        <v>100000</v>
      </c>
      <c r="AM37" s="90">
        <f>MIN(MAX(EV_DB[[#This Row],[Federal Rebates (iMHZEV) ]],EV_DB[[#This Row],[MB Vehicle Rebates]]),PRODUCT(EV_DB[[#This Row],[Cost, $MSRP
CAD]],0.75))</f>
        <v>100000</v>
      </c>
      <c r="AN37" s="90">
        <f>MIN(MAX(EV_DB[[#This Row],[Federal Rebates (iMHZEV) ]],EV_DB[[#This Row],[PEI Vehicle Rebates]]),PRODUCT(EV_DB[[#This Row],[Cost, $MSRP
CAD]],0.75))</f>
        <v>100000</v>
      </c>
      <c r="AO37" s="90">
        <f>MIN(MAX(EV_DB[[#This Row],[Federal Rebates (iMHZEV) ]],EV_DB[[#This Row],[NL Vehicle Rebates]]),PRODUCT(EV_DB[[#This Row],[Cost, $MSRP
CAD]],0.75))</f>
        <v>100000</v>
      </c>
      <c r="AP37" s="90">
        <f>MIN(MAX(EV_DB[[#This Row],[Federal Rebates (iMHZEV) ]]+EV_DB[[#This Row],[YT Vehicle Rebates]]),PRODUCT(EV_DB[[#This Row],[Cost, $MSRP
CAD]],0.75))</f>
        <v>100000</v>
      </c>
      <c r="AQ37" s="90">
        <f>MIN(MAX(EV_DB[[#This Row],[Federal Rebates (iMHZEV) ]],EV_DB[[#This Row],[NU Vehicle Rebates]]),PRODUCT(EV_DB[[#This Row],[Cost, $MSRP
CAD]],0.75))</f>
        <v>100000</v>
      </c>
      <c r="AR37" s="93">
        <f>MIN(MAX(EV_DB[[#This Row],[Federal Rebates (iMHZEV) ]],EV_DB[[#This Row],[NT Vehicle Rebates]]),PRODUCT(EV_DB[[#This Row],[Cost, $MSRP
CAD]],0.75))</f>
        <v>100000</v>
      </c>
    </row>
    <row r="38" spans="1:44" s="1" customFormat="1" ht="15.6">
      <c r="A38" s="40" t="s">
        <v>433</v>
      </c>
      <c r="B38" s="40" t="s">
        <v>434</v>
      </c>
      <c r="C38" s="90" t="str">
        <f>EV_DB[[#This Row],[Manufacturer  ]]&amp; " " &amp;EV_DB[[#This Row],[Model]]</f>
        <v>Kenworth K270E</v>
      </c>
      <c r="D38" s="40" t="s">
        <v>391</v>
      </c>
      <c r="E38" s="40">
        <v>2023</v>
      </c>
      <c r="F38" s="40">
        <v>6</v>
      </c>
      <c r="G38" s="90" t="str" cm="1">
        <f t="array" ref="G38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Medium Duty</v>
      </c>
      <c r="H38" s="40" t="s">
        <v>435</v>
      </c>
      <c r="I38" s="41"/>
      <c r="J38" s="71">
        <v>315088</v>
      </c>
      <c r="K38" s="92" cm="1">
        <f t="array" ref="K38">_xlfn.IFS(EV_DB[[#This Row],[Category]]="Light Duty",'Maintenance costs table'!$D$4,EV_DB[[#This Row],[Category]]="Medium Duty",'Maintenance costs table'!$D$8,EV_DB[[#This Row],[Category]]="Heavy Duty",'Maintenance costs table'!$D$6)</f>
        <v>0.25</v>
      </c>
      <c r="L38" s="42" t="s">
        <v>17</v>
      </c>
      <c r="M38" s="40" t="s">
        <v>436</v>
      </c>
      <c r="N38" s="40">
        <v>0.28999999999999998</v>
      </c>
      <c r="O38" s="40"/>
      <c r="P38" s="40"/>
      <c r="Q38" s="41"/>
      <c r="R38" s="41" cm="1">
        <f t="array" ref="R38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100000</v>
      </c>
      <c r="S38" s="41"/>
      <c r="T38" s="40" cm="1">
        <f t="array" ref="T38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100000</v>
      </c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92">
        <f>MIN(MAX(EV_DB[[#This Row],[Federal Rebates (iMHZEV) ]],EV_DB[[#This Row],[ON Vehicle Rebates]]),PRODUCT(EV_DB[[#This Row],[Cost, $MSRP
CAD]],0.75))</f>
        <v>100000</v>
      </c>
      <c r="AG38" s="90">
        <f>MIN(EV_DB[[#This Row],[Federal Rebates (iMHZEV) ]]+EV_DB[[#This Row],[BC Vehicle Rebates]],PRODUCT(EV_DB[[#This Row],[Cost, $MSRP
CAD]],0.75))</f>
        <v>200000</v>
      </c>
      <c r="AH38" s="90">
        <f>MIN(EV_DB[[#This Row],[Federal Rebates (iMHZEV) ]]+EV_DB[[#This Row],[QC Vehicle Rebates]],PRODUCT(EV_DB[[#This Row],[Cost, $MSRP
CAD]],0.75))</f>
        <v>100000</v>
      </c>
      <c r="AI38" s="90">
        <f>MIN(MAX(EV_DB[[#This Row],[Federal Rebates (iMHZEV) ]],EV_DB[[#This Row],[AB Vehicle Rebates]]),PRODUCT(EV_DB[[#This Row],[Cost, $MSRP
CAD]],0.75))</f>
        <v>100000</v>
      </c>
      <c r="AJ38" s="90">
        <f>MIN(MAX(EV_DB[[#This Row],[Federal Rebates (iMHZEV) ]],EV_DB[[#This Row],[SC Vehicle Rebates]]),PRODUCT(EV_DB[[#This Row],[Cost, $MSRP
CAD]],0.75))</f>
        <v>100000</v>
      </c>
      <c r="AK38" s="90">
        <f>MIN(MAX(EV_DB[[#This Row],[Federal Rebates (iMHZEV) ]],EV_DB[[#This Row],[NS Vehicle Rebates]]),PRODUCT(EV_DB[[#This Row],[Cost, $MSRP
CAD]],0.75))</f>
        <v>100000</v>
      </c>
      <c r="AL38" s="90">
        <f>MIN(MAX(EV_DB[[#This Row],[Federal Rebates (iMHZEV) ]],EV_DB[[#This Row],[NB Vehicle Rebates]]),PRODUCT(EV_DB[[#This Row],[Cost, $MSRP
CAD]],0.75))</f>
        <v>100000</v>
      </c>
      <c r="AM38" s="90">
        <f>MIN(MAX(EV_DB[[#This Row],[Federal Rebates (iMHZEV) ]],EV_DB[[#This Row],[MB Vehicle Rebates]]),PRODUCT(EV_DB[[#This Row],[Cost, $MSRP
CAD]],0.75))</f>
        <v>100000</v>
      </c>
      <c r="AN38" s="90">
        <f>MIN(MAX(EV_DB[[#This Row],[Federal Rebates (iMHZEV) ]],EV_DB[[#This Row],[PEI Vehicle Rebates]]),PRODUCT(EV_DB[[#This Row],[Cost, $MSRP
CAD]],0.75))</f>
        <v>100000</v>
      </c>
      <c r="AO38" s="90">
        <f>MIN(MAX(EV_DB[[#This Row],[Federal Rebates (iMHZEV) ]],EV_DB[[#This Row],[NL Vehicle Rebates]]),PRODUCT(EV_DB[[#This Row],[Cost, $MSRP
CAD]],0.75))</f>
        <v>100000</v>
      </c>
      <c r="AP38" s="90">
        <f>MIN(MAX(EV_DB[[#This Row],[Federal Rebates (iMHZEV) ]]+EV_DB[[#This Row],[YT Vehicle Rebates]]),PRODUCT(EV_DB[[#This Row],[Cost, $MSRP
CAD]],0.75))</f>
        <v>100000</v>
      </c>
      <c r="AQ38" s="90">
        <f>MIN(MAX(EV_DB[[#This Row],[Federal Rebates (iMHZEV) ]],EV_DB[[#This Row],[NU Vehicle Rebates]]),PRODUCT(EV_DB[[#This Row],[Cost, $MSRP
CAD]],0.75))</f>
        <v>100000</v>
      </c>
      <c r="AR38" s="93">
        <f>MIN(MAX(EV_DB[[#This Row],[Federal Rebates (iMHZEV) ]],EV_DB[[#This Row],[NT Vehicle Rebates]]),PRODUCT(EV_DB[[#This Row],[Cost, $MSRP
CAD]],0.75))</f>
        <v>100000</v>
      </c>
    </row>
    <row r="39" spans="1:44" s="1" customFormat="1" ht="30.95">
      <c r="A39" s="40" t="s">
        <v>372</v>
      </c>
      <c r="B39" s="40" t="s">
        <v>437</v>
      </c>
      <c r="C39" s="90" t="str">
        <f>EV_DB[[#This Row],[Manufacturer  ]]&amp; " " &amp;EV_DB[[#This Row],[Model]]</f>
        <v>Motiv Power Systems Step Vans -SL</v>
      </c>
      <c r="D39" s="40" t="s">
        <v>438</v>
      </c>
      <c r="E39" s="40">
        <v>2023</v>
      </c>
      <c r="F39" s="40">
        <v>6</v>
      </c>
      <c r="G39" s="90" t="str" cm="1">
        <f t="array" ref="G39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Medium Duty</v>
      </c>
      <c r="H39" s="45">
        <v>22000</v>
      </c>
      <c r="I39" s="41">
        <v>11600</v>
      </c>
      <c r="J39" s="71">
        <v>300000</v>
      </c>
      <c r="K39" s="92" cm="1">
        <f t="array" ref="K39">_xlfn.IFS(EV_DB[[#This Row],[Category]]="Light Duty",'Maintenance costs table'!$D$4,EV_DB[[#This Row],[Category]]="Medium Duty",'Maintenance costs table'!$D$8,EV_DB[[#This Row],[Category]]="Heavy Duty",'Maintenance costs table'!$D$6)</f>
        <v>0.25</v>
      </c>
      <c r="L39" s="42" t="s">
        <v>17</v>
      </c>
      <c r="M39" s="40" t="s">
        <v>439</v>
      </c>
      <c r="N39" s="40">
        <v>0.28000000000000003</v>
      </c>
      <c r="O39" s="40"/>
      <c r="P39" s="40"/>
      <c r="Q39" s="41"/>
      <c r="R39" s="41" cm="1">
        <f t="array" ref="R39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100000</v>
      </c>
      <c r="S39" s="41"/>
      <c r="T39" s="40" cm="1">
        <f t="array" ref="T39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100000</v>
      </c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92">
        <f>MIN(MAX(EV_DB[[#This Row],[Federal Rebates (iMHZEV) ]],EV_DB[[#This Row],[ON Vehicle Rebates]]),PRODUCT(EV_DB[[#This Row],[Cost, $MSRP
CAD]],0.75))</f>
        <v>100000</v>
      </c>
      <c r="AG39" s="90">
        <f>MIN(EV_DB[[#This Row],[Federal Rebates (iMHZEV) ]]+EV_DB[[#This Row],[BC Vehicle Rebates]],PRODUCT(EV_DB[[#This Row],[Cost, $MSRP
CAD]],0.75))</f>
        <v>200000</v>
      </c>
      <c r="AH39" s="90">
        <f>MIN(EV_DB[[#This Row],[Federal Rebates (iMHZEV) ]]+EV_DB[[#This Row],[QC Vehicle Rebates]],PRODUCT(EV_DB[[#This Row],[Cost, $MSRP
CAD]],0.75))</f>
        <v>100000</v>
      </c>
      <c r="AI39" s="90">
        <f>MIN(MAX(EV_DB[[#This Row],[Federal Rebates (iMHZEV) ]],EV_DB[[#This Row],[AB Vehicle Rebates]]),PRODUCT(EV_DB[[#This Row],[Cost, $MSRP
CAD]],0.75))</f>
        <v>100000</v>
      </c>
      <c r="AJ39" s="90">
        <f>MIN(MAX(EV_DB[[#This Row],[Federal Rebates (iMHZEV) ]],EV_DB[[#This Row],[SC Vehicle Rebates]]),PRODUCT(EV_DB[[#This Row],[Cost, $MSRP
CAD]],0.75))</f>
        <v>100000</v>
      </c>
      <c r="AK39" s="90">
        <f>MIN(MAX(EV_DB[[#This Row],[Federal Rebates (iMHZEV) ]],EV_DB[[#This Row],[NS Vehicle Rebates]]),PRODUCT(EV_DB[[#This Row],[Cost, $MSRP
CAD]],0.75))</f>
        <v>100000</v>
      </c>
      <c r="AL39" s="90">
        <f>MIN(MAX(EV_DB[[#This Row],[Federal Rebates (iMHZEV) ]],EV_DB[[#This Row],[NB Vehicle Rebates]]),PRODUCT(EV_DB[[#This Row],[Cost, $MSRP
CAD]],0.75))</f>
        <v>100000</v>
      </c>
      <c r="AM39" s="90">
        <f>MIN(MAX(EV_DB[[#This Row],[Federal Rebates (iMHZEV) ]],EV_DB[[#This Row],[MB Vehicle Rebates]]),PRODUCT(EV_DB[[#This Row],[Cost, $MSRP
CAD]],0.75))</f>
        <v>100000</v>
      </c>
      <c r="AN39" s="90">
        <f>MIN(MAX(EV_DB[[#This Row],[Federal Rebates (iMHZEV) ]],EV_DB[[#This Row],[PEI Vehicle Rebates]]),PRODUCT(EV_DB[[#This Row],[Cost, $MSRP
CAD]],0.75))</f>
        <v>100000</v>
      </c>
      <c r="AO39" s="90">
        <f>MIN(MAX(EV_DB[[#This Row],[Federal Rebates (iMHZEV) ]],EV_DB[[#This Row],[NL Vehicle Rebates]]),PRODUCT(EV_DB[[#This Row],[Cost, $MSRP
CAD]],0.75))</f>
        <v>100000</v>
      </c>
      <c r="AP39" s="90">
        <f>MIN(MAX(EV_DB[[#This Row],[Federal Rebates (iMHZEV) ]]+EV_DB[[#This Row],[YT Vehicle Rebates]]),PRODUCT(EV_DB[[#This Row],[Cost, $MSRP
CAD]],0.75))</f>
        <v>100000</v>
      </c>
      <c r="AQ39" s="90">
        <f>MIN(MAX(EV_DB[[#This Row],[Federal Rebates (iMHZEV) ]],EV_DB[[#This Row],[NU Vehicle Rebates]]),PRODUCT(EV_DB[[#This Row],[Cost, $MSRP
CAD]],0.75))</f>
        <v>100000</v>
      </c>
      <c r="AR39" s="93">
        <f>MIN(MAX(EV_DB[[#This Row],[Federal Rebates (iMHZEV) ]],EV_DB[[#This Row],[NT Vehicle Rebates]]),PRODUCT(EV_DB[[#This Row],[Cost, $MSRP
CAD]],0.75))</f>
        <v>100000</v>
      </c>
    </row>
    <row r="40" spans="1:44" s="1" customFormat="1" ht="46.5">
      <c r="A40" s="40" t="s">
        <v>372</v>
      </c>
      <c r="B40" s="40" t="s">
        <v>440</v>
      </c>
      <c r="C40" s="90" t="str">
        <f>EV_DB[[#This Row],[Manufacturer  ]]&amp; " " &amp;EV_DB[[#This Row],[Model]]</f>
        <v>Motiv Power Systems Argo</v>
      </c>
      <c r="D40" s="40" t="s">
        <v>441</v>
      </c>
      <c r="E40" s="40">
        <v>2025</v>
      </c>
      <c r="F40" s="40">
        <v>6</v>
      </c>
      <c r="G40" s="90" t="str" cm="1">
        <f t="array" ref="G40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Medium Duty</v>
      </c>
      <c r="H40" s="45">
        <v>26000</v>
      </c>
      <c r="I40" s="41">
        <v>15500</v>
      </c>
      <c r="J40" s="71">
        <v>260000</v>
      </c>
      <c r="K40" s="92" cm="1">
        <f t="array" ref="K40">_xlfn.IFS(EV_DB[[#This Row],[Category]]="Light Duty",'Maintenance costs table'!$D$4,EV_DB[[#This Row],[Category]]="Medium Duty",'Maintenance costs table'!$D$8,EV_DB[[#This Row],[Category]]="Heavy Duty",'Maintenance costs table'!$D$6)</f>
        <v>0.25</v>
      </c>
      <c r="L40" s="42" t="s">
        <v>17</v>
      </c>
      <c r="M40" s="40" t="s">
        <v>442</v>
      </c>
      <c r="N40" s="40">
        <v>0.28999999999999998</v>
      </c>
      <c r="O40" s="40" t="s">
        <v>443</v>
      </c>
      <c r="P40" s="40"/>
      <c r="Q40" s="41">
        <v>241</v>
      </c>
      <c r="R40" s="41" cm="1">
        <f t="array" ref="R40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100000</v>
      </c>
      <c r="S40" s="41"/>
      <c r="T40" s="40" cm="1">
        <f t="array" ref="T40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100000</v>
      </c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95">
        <f>MIN(MAX(EV_DB[[#This Row],[Federal Rebates (iMHZEV) ]],EV_DB[[#This Row],[ON Vehicle Rebates]]),PRODUCT(EV_DB[[#This Row],[Cost, $MSRP
CAD]],0.75))</f>
        <v>100000</v>
      </c>
      <c r="AG40" s="90">
        <f>MIN(EV_DB[[#This Row],[Federal Rebates (iMHZEV) ]]+EV_DB[[#This Row],[BC Vehicle Rebates]],PRODUCT(EV_DB[[#This Row],[Cost, $MSRP
CAD]],0.75))</f>
        <v>195000</v>
      </c>
      <c r="AH40" s="90">
        <f>MIN(EV_DB[[#This Row],[Federal Rebates (iMHZEV) ]]+EV_DB[[#This Row],[QC Vehicle Rebates]],PRODUCT(EV_DB[[#This Row],[Cost, $MSRP
CAD]],0.75))</f>
        <v>100000</v>
      </c>
      <c r="AI40" s="90">
        <f>MIN(MAX(EV_DB[[#This Row],[Federal Rebates (iMHZEV) ]],EV_DB[[#This Row],[AB Vehicle Rebates]]),PRODUCT(EV_DB[[#This Row],[Cost, $MSRP
CAD]],0.75))</f>
        <v>100000</v>
      </c>
      <c r="AJ40" s="90">
        <f>MIN(MAX(EV_DB[[#This Row],[Federal Rebates (iMHZEV) ]],EV_DB[[#This Row],[SC Vehicle Rebates]]),PRODUCT(EV_DB[[#This Row],[Cost, $MSRP
CAD]],0.75))</f>
        <v>100000</v>
      </c>
      <c r="AK40" s="90">
        <f>MIN(MAX(EV_DB[[#This Row],[Federal Rebates (iMHZEV) ]],EV_DB[[#This Row],[NS Vehicle Rebates]]),PRODUCT(EV_DB[[#This Row],[Cost, $MSRP
CAD]],0.75))</f>
        <v>100000</v>
      </c>
      <c r="AL40" s="90">
        <f>MIN(MAX(EV_DB[[#This Row],[Federal Rebates (iMHZEV) ]],EV_DB[[#This Row],[NB Vehicle Rebates]]),PRODUCT(EV_DB[[#This Row],[Cost, $MSRP
CAD]],0.75))</f>
        <v>100000</v>
      </c>
      <c r="AM40" s="90">
        <f>MIN(MAX(EV_DB[[#This Row],[Federal Rebates (iMHZEV) ]],EV_DB[[#This Row],[MB Vehicle Rebates]]),PRODUCT(EV_DB[[#This Row],[Cost, $MSRP
CAD]],0.75))</f>
        <v>100000</v>
      </c>
      <c r="AN40" s="90">
        <f>MIN(MAX(EV_DB[[#This Row],[Federal Rebates (iMHZEV) ]],EV_DB[[#This Row],[PEI Vehicle Rebates]]),PRODUCT(EV_DB[[#This Row],[Cost, $MSRP
CAD]],0.75))</f>
        <v>100000</v>
      </c>
      <c r="AO40" s="90">
        <f>MIN(MAX(EV_DB[[#This Row],[Federal Rebates (iMHZEV) ]],EV_DB[[#This Row],[NL Vehicle Rebates]]),PRODUCT(EV_DB[[#This Row],[Cost, $MSRP
CAD]],0.75))</f>
        <v>100000</v>
      </c>
      <c r="AP40" s="90">
        <f>MIN(MAX(EV_DB[[#This Row],[Federal Rebates (iMHZEV) ]]+EV_DB[[#This Row],[YT Vehicle Rebates]]),PRODUCT(EV_DB[[#This Row],[Cost, $MSRP
CAD]],0.75))</f>
        <v>100000</v>
      </c>
      <c r="AQ40" s="90">
        <f>MIN(MAX(EV_DB[[#This Row],[Federal Rebates (iMHZEV) ]],EV_DB[[#This Row],[NU Vehicle Rebates]]),PRODUCT(EV_DB[[#This Row],[Cost, $MSRP
CAD]],0.75))</f>
        <v>100000</v>
      </c>
      <c r="AR40" s="93">
        <f>MIN(MAX(EV_DB[[#This Row],[Federal Rebates (iMHZEV) ]],EV_DB[[#This Row],[NT Vehicle Rebates]]),PRODUCT(EV_DB[[#This Row],[Cost, $MSRP
CAD]],0.75))</f>
        <v>100000</v>
      </c>
    </row>
    <row r="41" spans="1:44" s="1" customFormat="1" ht="62.1">
      <c r="A41" s="40" t="s">
        <v>444</v>
      </c>
      <c r="B41" s="40" t="s">
        <v>445</v>
      </c>
      <c r="C41" s="90" t="str">
        <f>EV_DB[[#This Row],[Manufacturer  ]]&amp; " " &amp;EV_DB[[#This Row],[Model]]</f>
        <v>Bollinger B4</v>
      </c>
      <c r="D41" s="40" t="s">
        <v>412</v>
      </c>
      <c r="E41" s="40">
        <v>2025</v>
      </c>
      <c r="F41" s="40">
        <v>4</v>
      </c>
      <c r="G41" s="90" t="str" cm="1">
        <f t="array" ref="G41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Medium Duty</v>
      </c>
      <c r="H41" s="45">
        <v>15500</v>
      </c>
      <c r="I41" s="41">
        <v>7325</v>
      </c>
      <c r="J41" s="71">
        <v>158758</v>
      </c>
      <c r="K41" s="92" cm="1">
        <f t="array" ref="K41">_xlfn.IFS(EV_DB[[#This Row],[Category]]="Light Duty",'Maintenance costs table'!$D$4,EV_DB[[#This Row],[Category]]="Medium Duty",'Maintenance costs table'!$D$8,EV_DB[[#This Row],[Category]]="Heavy Duty",'Maintenance costs table'!$D$6)</f>
        <v>0.25</v>
      </c>
      <c r="L41" s="42" t="s">
        <v>17</v>
      </c>
      <c r="M41" s="40" t="s">
        <v>442</v>
      </c>
      <c r="N41" s="40">
        <v>0.3</v>
      </c>
      <c r="O41" s="40" t="s">
        <v>446</v>
      </c>
      <c r="P41" s="40">
        <v>800</v>
      </c>
      <c r="Q41" s="41">
        <v>297</v>
      </c>
      <c r="R41" s="41" cm="1">
        <f t="array" ref="R41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75000</v>
      </c>
      <c r="S41" s="41"/>
      <c r="T41" s="40" cm="1">
        <f t="array" ref="T41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75000</v>
      </c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92">
        <f>MIN(MAX(EV_DB[[#This Row],[Federal Rebates (iMHZEV) ]],EV_DB[[#This Row],[ON Vehicle Rebates]]),PRODUCT(EV_DB[[#This Row],[Cost, $MSRP
CAD]],0.75))</f>
        <v>75000</v>
      </c>
      <c r="AG41" s="90">
        <f>MIN(EV_DB[[#This Row],[Federal Rebates (iMHZEV) ]]+EV_DB[[#This Row],[BC Vehicle Rebates]],PRODUCT(EV_DB[[#This Row],[Cost, $MSRP
CAD]],0.75))</f>
        <v>119068.5</v>
      </c>
      <c r="AH41" s="90">
        <f>MIN(EV_DB[[#This Row],[Federal Rebates (iMHZEV) ]]+EV_DB[[#This Row],[QC Vehicle Rebates]],PRODUCT(EV_DB[[#This Row],[Cost, $MSRP
CAD]],0.75))</f>
        <v>75000</v>
      </c>
      <c r="AI41" s="90">
        <f>MIN(MAX(EV_DB[[#This Row],[Federal Rebates (iMHZEV) ]],EV_DB[[#This Row],[AB Vehicle Rebates]]),PRODUCT(EV_DB[[#This Row],[Cost, $MSRP
CAD]],0.75))</f>
        <v>75000</v>
      </c>
      <c r="AJ41" s="90">
        <f>MIN(MAX(EV_DB[[#This Row],[Federal Rebates (iMHZEV) ]],EV_DB[[#This Row],[SC Vehicle Rebates]]),PRODUCT(EV_DB[[#This Row],[Cost, $MSRP
CAD]],0.75))</f>
        <v>75000</v>
      </c>
      <c r="AK41" s="90">
        <f>MIN(MAX(EV_DB[[#This Row],[Federal Rebates (iMHZEV) ]],EV_DB[[#This Row],[NS Vehicle Rebates]]),PRODUCT(EV_DB[[#This Row],[Cost, $MSRP
CAD]],0.75))</f>
        <v>75000</v>
      </c>
      <c r="AL41" s="90">
        <f>MIN(MAX(EV_DB[[#This Row],[Federal Rebates (iMHZEV) ]],EV_DB[[#This Row],[NB Vehicle Rebates]]),PRODUCT(EV_DB[[#This Row],[Cost, $MSRP
CAD]],0.75))</f>
        <v>75000</v>
      </c>
      <c r="AM41" s="90">
        <f>MIN(MAX(EV_DB[[#This Row],[Federal Rebates (iMHZEV) ]],EV_DB[[#This Row],[MB Vehicle Rebates]]),PRODUCT(EV_DB[[#This Row],[Cost, $MSRP
CAD]],0.75))</f>
        <v>75000</v>
      </c>
      <c r="AN41" s="90">
        <f>MIN(MAX(EV_DB[[#This Row],[Federal Rebates (iMHZEV) ]],EV_DB[[#This Row],[PEI Vehicle Rebates]]),PRODUCT(EV_DB[[#This Row],[Cost, $MSRP
CAD]],0.75))</f>
        <v>75000</v>
      </c>
      <c r="AO41" s="90">
        <f>MIN(MAX(EV_DB[[#This Row],[Federal Rebates (iMHZEV) ]],EV_DB[[#This Row],[NL Vehicle Rebates]]),PRODUCT(EV_DB[[#This Row],[Cost, $MSRP
CAD]],0.75))</f>
        <v>75000</v>
      </c>
      <c r="AP41" s="90">
        <f>MIN(MAX(EV_DB[[#This Row],[Federal Rebates (iMHZEV) ]]+EV_DB[[#This Row],[YT Vehicle Rebates]]),PRODUCT(EV_DB[[#This Row],[Cost, $MSRP
CAD]],0.75))</f>
        <v>75000</v>
      </c>
      <c r="AQ41" s="90">
        <f>MIN(MAX(EV_DB[[#This Row],[Federal Rebates (iMHZEV) ]],EV_DB[[#This Row],[NU Vehicle Rebates]]),PRODUCT(EV_DB[[#This Row],[Cost, $MSRP
CAD]],0.75))</f>
        <v>75000</v>
      </c>
      <c r="AR41" s="93">
        <f>MIN(MAX(EV_DB[[#This Row],[Federal Rebates (iMHZEV) ]],EV_DB[[#This Row],[NT Vehicle Rebates]]),PRODUCT(EV_DB[[#This Row],[Cost, $MSRP
CAD]],0.75))</f>
        <v>75000</v>
      </c>
    </row>
    <row r="42" spans="1:44" s="1" customFormat="1" ht="15.6">
      <c r="A42" s="40" t="s">
        <v>447</v>
      </c>
      <c r="B42" s="40" t="s">
        <v>448</v>
      </c>
      <c r="C42" s="90" t="str">
        <f>EV_DB[[#This Row],[Manufacturer  ]]&amp; " " &amp;EV_DB[[#This Row],[Model]]</f>
        <v>Peterbilt  220 EV</v>
      </c>
      <c r="D42" s="40" t="s">
        <v>391</v>
      </c>
      <c r="E42" s="40">
        <v>2023</v>
      </c>
      <c r="F42" s="40">
        <v>6</v>
      </c>
      <c r="G42" s="90" t="str" cm="1">
        <f t="array" ref="G42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Medium Duty</v>
      </c>
      <c r="H42" s="40" t="s">
        <v>449</v>
      </c>
      <c r="I42" s="46"/>
      <c r="J42" s="71">
        <v>435000</v>
      </c>
      <c r="K42" s="92" cm="1">
        <f t="array" ref="K42">_xlfn.IFS(EV_DB[[#This Row],[Category]]="Light Duty",'Maintenance costs table'!$D$4,EV_DB[[#This Row],[Category]]="Medium Duty",'Maintenance costs table'!$D$8,EV_DB[[#This Row],[Category]]="Heavy Duty",'Maintenance costs table'!$D$6)</f>
        <v>0.25</v>
      </c>
      <c r="L42" s="42" t="s">
        <v>17</v>
      </c>
      <c r="M42" s="40" t="s">
        <v>450</v>
      </c>
      <c r="N42" s="40">
        <v>0.28999999999999998</v>
      </c>
      <c r="O42" s="40"/>
      <c r="P42" s="40">
        <v>618</v>
      </c>
      <c r="Q42" s="41"/>
      <c r="R42" s="41" cm="1">
        <f t="array" ref="R42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100000</v>
      </c>
      <c r="S42" s="41"/>
      <c r="T42" s="40" cm="1">
        <f t="array" ref="T42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100000</v>
      </c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92">
        <f>MIN(MAX(EV_DB[[#This Row],[Federal Rebates (iMHZEV) ]],EV_DB[[#This Row],[ON Vehicle Rebates]]),PRODUCT(EV_DB[[#This Row],[Cost, $MSRP
CAD]],0.75))</f>
        <v>100000</v>
      </c>
      <c r="AG42" s="90">
        <f>MIN(EV_DB[[#This Row],[Federal Rebates (iMHZEV) ]]+EV_DB[[#This Row],[BC Vehicle Rebates]],PRODUCT(EV_DB[[#This Row],[Cost, $MSRP
CAD]],0.75))</f>
        <v>200000</v>
      </c>
      <c r="AH42" s="90">
        <f>MIN(EV_DB[[#This Row],[Federal Rebates (iMHZEV) ]]+EV_DB[[#This Row],[QC Vehicle Rebates]],PRODUCT(EV_DB[[#This Row],[Cost, $MSRP
CAD]],0.75))</f>
        <v>100000</v>
      </c>
      <c r="AI42" s="90">
        <f>MIN(MAX(EV_DB[[#This Row],[Federal Rebates (iMHZEV) ]],EV_DB[[#This Row],[AB Vehicle Rebates]]),PRODUCT(EV_DB[[#This Row],[Cost, $MSRP
CAD]],0.75))</f>
        <v>100000</v>
      </c>
      <c r="AJ42" s="90">
        <f>MIN(MAX(EV_DB[[#This Row],[Federal Rebates (iMHZEV) ]],EV_DB[[#This Row],[SC Vehicle Rebates]]),PRODUCT(EV_DB[[#This Row],[Cost, $MSRP
CAD]],0.75))</f>
        <v>100000</v>
      </c>
      <c r="AK42" s="90">
        <f>MIN(MAX(EV_DB[[#This Row],[Federal Rebates (iMHZEV) ]],EV_DB[[#This Row],[NS Vehicle Rebates]]),PRODUCT(EV_DB[[#This Row],[Cost, $MSRP
CAD]],0.75))</f>
        <v>100000</v>
      </c>
      <c r="AL42" s="90">
        <f>MIN(MAX(EV_DB[[#This Row],[Federal Rebates (iMHZEV) ]],EV_DB[[#This Row],[NB Vehicle Rebates]]),PRODUCT(EV_DB[[#This Row],[Cost, $MSRP
CAD]],0.75))</f>
        <v>100000</v>
      </c>
      <c r="AM42" s="90">
        <f>MIN(MAX(EV_DB[[#This Row],[Federal Rebates (iMHZEV) ]],EV_DB[[#This Row],[MB Vehicle Rebates]]),PRODUCT(EV_DB[[#This Row],[Cost, $MSRP
CAD]],0.75))</f>
        <v>100000</v>
      </c>
      <c r="AN42" s="90">
        <f>MIN(MAX(EV_DB[[#This Row],[Federal Rebates (iMHZEV) ]],EV_DB[[#This Row],[PEI Vehicle Rebates]]),PRODUCT(EV_DB[[#This Row],[Cost, $MSRP
CAD]],0.75))</f>
        <v>100000</v>
      </c>
      <c r="AO42" s="90">
        <f>MIN(MAX(EV_DB[[#This Row],[Federal Rebates (iMHZEV) ]],EV_DB[[#This Row],[NL Vehicle Rebates]]),PRODUCT(EV_DB[[#This Row],[Cost, $MSRP
CAD]],0.75))</f>
        <v>100000</v>
      </c>
      <c r="AP42" s="90">
        <f>MIN(MAX(EV_DB[[#This Row],[Federal Rebates (iMHZEV) ]]+EV_DB[[#This Row],[YT Vehicle Rebates]]),PRODUCT(EV_DB[[#This Row],[Cost, $MSRP
CAD]],0.75))</f>
        <v>100000</v>
      </c>
      <c r="AQ42" s="90">
        <f>MIN(MAX(EV_DB[[#This Row],[Federal Rebates (iMHZEV) ]],EV_DB[[#This Row],[NU Vehicle Rebates]]),PRODUCT(EV_DB[[#This Row],[Cost, $MSRP
CAD]],0.75))</f>
        <v>100000</v>
      </c>
      <c r="AR42" s="93">
        <f>MIN(MAX(EV_DB[[#This Row],[Federal Rebates (iMHZEV) ]],EV_DB[[#This Row],[NT Vehicle Rebates]]),PRODUCT(EV_DB[[#This Row],[Cost, $MSRP
CAD]],0.75))</f>
        <v>100000</v>
      </c>
    </row>
    <row r="43" spans="1:44" s="1" customFormat="1" ht="30.95">
      <c r="A43" s="40" t="s">
        <v>451</v>
      </c>
      <c r="B43" s="40" t="s">
        <v>452</v>
      </c>
      <c r="C43" s="90" t="str">
        <f>EV_DB[[#This Row],[Manufacturer  ]]&amp; " " &amp;EV_DB[[#This Row],[Model]]</f>
        <v>Pheonix EV ZEUS 500</v>
      </c>
      <c r="D43" s="40" t="s">
        <v>453</v>
      </c>
      <c r="E43" s="40">
        <v>2023</v>
      </c>
      <c r="F43" s="40">
        <v>5</v>
      </c>
      <c r="G43" s="90" t="str" cm="1">
        <f t="array" ref="G43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Medium Duty</v>
      </c>
      <c r="H43" s="45">
        <v>14500</v>
      </c>
      <c r="I43" s="41">
        <v>6500</v>
      </c>
      <c r="J43" s="71"/>
      <c r="K43" s="92" cm="1">
        <f t="array" ref="K43">_xlfn.IFS(EV_DB[[#This Row],[Category]]="Light Duty",'Maintenance costs table'!$D$4,EV_DB[[#This Row],[Category]]="Medium Duty",'Maintenance costs table'!$D$8,EV_DB[[#This Row],[Category]]="Heavy Duty",'Maintenance costs table'!$D$6)</f>
        <v>0.25</v>
      </c>
      <c r="L43" s="42" t="s">
        <v>17</v>
      </c>
      <c r="M43" s="40" t="s">
        <v>454</v>
      </c>
      <c r="N43" s="40">
        <v>0.31</v>
      </c>
      <c r="O43" s="40" t="s">
        <v>455</v>
      </c>
      <c r="P43" s="40"/>
      <c r="Q43" s="41">
        <v>257</v>
      </c>
      <c r="R43" s="41" cm="1">
        <f t="array" ref="R43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75000</v>
      </c>
      <c r="S43" s="41"/>
      <c r="T43" s="40" cm="1">
        <f t="array" ref="T43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75000</v>
      </c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92">
        <f>MIN(MAX(EV_DB[[#This Row],[Federal Rebates (iMHZEV) ]],EV_DB[[#This Row],[ON Vehicle Rebates]]),PRODUCT(EV_DB[[#This Row],[Cost, $MSRP
CAD]],0.75))</f>
        <v>0.75</v>
      </c>
      <c r="AG43" s="90">
        <f>MIN(EV_DB[[#This Row],[Federal Rebates (iMHZEV) ]]+EV_DB[[#This Row],[BC Vehicle Rebates]],PRODUCT(EV_DB[[#This Row],[Cost, $MSRP
CAD]],0.75))</f>
        <v>0.75</v>
      </c>
      <c r="AH43" s="90">
        <f>MIN(EV_DB[[#This Row],[Federal Rebates (iMHZEV) ]]+EV_DB[[#This Row],[QC Vehicle Rebates]],PRODUCT(EV_DB[[#This Row],[Cost, $MSRP
CAD]],0.75))</f>
        <v>0.75</v>
      </c>
      <c r="AI43" s="90">
        <f>MIN(MAX(EV_DB[[#This Row],[Federal Rebates (iMHZEV) ]],EV_DB[[#This Row],[AB Vehicle Rebates]]),PRODUCT(EV_DB[[#This Row],[Cost, $MSRP
CAD]],0.75))</f>
        <v>0.75</v>
      </c>
      <c r="AJ43" s="90">
        <f>MIN(MAX(EV_DB[[#This Row],[Federal Rebates (iMHZEV) ]],EV_DB[[#This Row],[SC Vehicle Rebates]]),PRODUCT(EV_DB[[#This Row],[Cost, $MSRP
CAD]],0.75))</f>
        <v>0.75</v>
      </c>
      <c r="AK43" s="90">
        <f>MIN(MAX(EV_DB[[#This Row],[Federal Rebates (iMHZEV) ]],EV_DB[[#This Row],[NS Vehicle Rebates]]),PRODUCT(EV_DB[[#This Row],[Cost, $MSRP
CAD]],0.75))</f>
        <v>0.75</v>
      </c>
      <c r="AL43" s="90">
        <f>MIN(MAX(EV_DB[[#This Row],[Federal Rebates (iMHZEV) ]],EV_DB[[#This Row],[NB Vehicle Rebates]]),PRODUCT(EV_DB[[#This Row],[Cost, $MSRP
CAD]],0.75))</f>
        <v>0.75</v>
      </c>
      <c r="AM43" s="90">
        <f>MIN(MAX(EV_DB[[#This Row],[Federal Rebates (iMHZEV) ]],EV_DB[[#This Row],[MB Vehicle Rebates]]),PRODUCT(EV_DB[[#This Row],[Cost, $MSRP
CAD]],0.75))</f>
        <v>0.75</v>
      </c>
      <c r="AN43" s="90">
        <f>MIN(MAX(EV_DB[[#This Row],[Federal Rebates (iMHZEV) ]],EV_DB[[#This Row],[PEI Vehicle Rebates]]),PRODUCT(EV_DB[[#This Row],[Cost, $MSRP
CAD]],0.75))</f>
        <v>0.75</v>
      </c>
      <c r="AO43" s="90">
        <f>MIN(MAX(EV_DB[[#This Row],[Federal Rebates (iMHZEV) ]],EV_DB[[#This Row],[NL Vehicle Rebates]]),PRODUCT(EV_DB[[#This Row],[Cost, $MSRP
CAD]],0.75))</f>
        <v>0.75</v>
      </c>
      <c r="AP43" s="90">
        <f>MIN(MAX(EV_DB[[#This Row],[Federal Rebates (iMHZEV) ]]+EV_DB[[#This Row],[YT Vehicle Rebates]]),PRODUCT(EV_DB[[#This Row],[Cost, $MSRP
CAD]],0.75))</f>
        <v>0.75</v>
      </c>
      <c r="AQ43" s="90">
        <f>MIN(MAX(EV_DB[[#This Row],[Federal Rebates (iMHZEV) ]],EV_DB[[#This Row],[NU Vehicle Rebates]]),PRODUCT(EV_DB[[#This Row],[Cost, $MSRP
CAD]],0.75))</f>
        <v>0.75</v>
      </c>
      <c r="AR43" s="93">
        <f>MIN(MAX(EV_DB[[#This Row],[Federal Rebates (iMHZEV) ]],EV_DB[[#This Row],[NT Vehicle Rebates]]),PRODUCT(EV_DB[[#This Row],[Cost, $MSRP
CAD]],0.75))</f>
        <v>0.75</v>
      </c>
    </row>
    <row r="44" spans="1:44" s="1" customFormat="1" ht="15.6">
      <c r="A44" s="40" t="s">
        <v>456</v>
      </c>
      <c r="B44" s="40" t="s">
        <v>457</v>
      </c>
      <c r="C44" s="90" t="str">
        <f>EV_DB[[#This Row],[Manufacturer  ]]&amp; " " &amp;EV_DB[[#This Row],[Model]]</f>
        <v>Daimler  Rizon</v>
      </c>
      <c r="D44" s="40" t="s">
        <v>458</v>
      </c>
      <c r="E44" s="40">
        <v>2025</v>
      </c>
      <c r="F44" s="40">
        <v>5</v>
      </c>
      <c r="G44" s="90" t="str" cm="1">
        <f t="array" ref="G44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Medium Duty</v>
      </c>
      <c r="H44" s="40" t="s">
        <v>459</v>
      </c>
      <c r="I44" s="41">
        <v>18850</v>
      </c>
      <c r="J44" s="71">
        <v>200000</v>
      </c>
      <c r="K44" s="92" cm="1">
        <f t="array" ref="K44">_xlfn.IFS(EV_DB[[#This Row],[Category]]="Light Duty",'Maintenance costs table'!$D$4,EV_DB[[#This Row],[Category]]="Medium Duty",'Maintenance costs table'!$D$8,EV_DB[[#This Row],[Category]]="Heavy Duty",'Maintenance costs table'!$D$6)</f>
        <v>0.25</v>
      </c>
      <c r="L44" s="42" t="s">
        <v>17</v>
      </c>
      <c r="M44" s="40" t="s">
        <v>460</v>
      </c>
      <c r="N44" s="40">
        <v>0.28000000000000003</v>
      </c>
      <c r="O44" s="40" t="s">
        <v>461</v>
      </c>
      <c r="P44" s="40"/>
      <c r="Q44" s="41">
        <v>249</v>
      </c>
      <c r="R44" s="41" cm="1">
        <f t="array" ref="R44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75000</v>
      </c>
      <c r="S44" s="41"/>
      <c r="T44" s="40" cm="1">
        <f t="array" ref="T44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75000</v>
      </c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92">
        <f>MIN(MAX(EV_DB[[#This Row],[Federal Rebates (iMHZEV) ]],EV_DB[[#This Row],[ON Vehicle Rebates]]),PRODUCT(EV_DB[[#This Row],[Cost, $MSRP
CAD]],0.75))</f>
        <v>75000</v>
      </c>
      <c r="AG44" s="90">
        <f>MIN(EV_DB[[#This Row],[Federal Rebates (iMHZEV) ]]+EV_DB[[#This Row],[BC Vehicle Rebates]],PRODUCT(EV_DB[[#This Row],[Cost, $MSRP
CAD]],0.75))</f>
        <v>150000</v>
      </c>
      <c r="AH44" s="90">
        <f>MIN(EV_DB[[#This Row],[Federal Rebates (iMHZEV) ]]+EV_DB[[#This Row],[QC Vehicle Rebates]],PRODUCT(EV_DB[[#This Row],[Cost, $MSRP
CAD]],0.75))</f>
        <v>75000</v>
      </c>
      <c r="AI44" s="90">
        <f>MIN(MAX(EV_DB[[#This Row],[Federal Rebates (iMHZEV) ]],EV_DB[[#This Row],[AB Vehicle Rebates]]),PRODUCT(EV_DB[[#This Row],[Cost, $MSRP
CAD]],0.75))</f>
        <v>75000</v>
      </c>
      <c r="AJ44" s="90">
        <f>MIN(MAX(EV_DB[[#This Row],[Federal Rebates (iMHZEV) ]],EV_DB[[#This Row],[SC Vehicle Rebates]]),PRODUCT(EV_DB[[#This Row],[Cost, $MSRP
CAD]],0.75))</f>
        <v>75000</v>
      </c>
      <c r="AK44" s="90">
        <f>MIN(MAX(EV_DB[[#This Row],[Federal Rebates (iMHZEV) ]],EV_DB[[#This Row],[NS Vehicle Rebates]]),PRODUCT(EV_DB[[#This Row],[Cost, $MSRP
CAD]],0.75))</f>
        <v>75000</v>
      </c>
      <c r="AL44" s="90">
        <f>MIN(MAX(EV_DB[[#This Row],[Federal Rebates (iMHZEV) ]],EV_DB[[#This Row],[NB Vehicle Rebates]]),PRODUCT(EV_DB[[#This Row],[Cost, $MSRP
CAD]],0.75))</f>
        <v>75000</v>
      </c>
      <c r="AM44" s="90">
        <f>MIN(MAX(EV_DB[[#This Row],[Federal Rebates (iMHZEV) ]],EV_DB[[#This Row],[MB Vehicle Rebates]]),PRODUCT(EV_DB[[#This Row],[Cost, $MSRP
CAD]],0.75))</f>
        <v>75000</v>
      </c>
      <c r="AN44" s="90">
        <f>MIN(MAX(EV_DB[[#This Row],[Federal Rebates (iMHZEV) ]],EV_DB[[#This Row],[PEI Vehicle Rebates]]),PRODUCT(EV_DB[[#This Row],[Cost, $MSRP
CAD]],0.75))</f>
        <v>75000</v>
      </c>
      <c r="AO44" s="90">
        <f>MIN(MAX(EV_DB[[#This Row],[Federal Rebates (iMHZEV) ]],EV_DB[[#This Row],[NL Vehicle Rebates]]),PRODUCT(EV_DB[[#This Row],[Cost, $MSRP
CAD]],0.75))</f>
        <v>75000</v>
      </c>
      <c r="AP44" s="90">
        <f>MIN(MAX(EV_DB[[#This Row],[Federal Rebates (iMHZEV) ]]+EV_DB[[#This Row],[YT Vehicle Rebates]]),PRODUCT(EV_DB[[#This Row],[Cost, $MSRP
CAD]],0.75))</f>
        <v>75000</v>
      </c>
      <c r="AQ44" s="90">
        <f>MIN(MAX(EV_DB[[#This Row],[Federal Rebates (iMHZEV) ]],EV_DB[[#This Row],[NU Vehicle Rebates]]),PRODUCT(EV_DB[[#This Row],[Cost, $MSRP
CAD]],0.75))</f>
        <v>75000</v>
      </c>
      <c r="AR44" s="93">
        <f>MIN(MAX(EV_DB[[#This Row],[Federal Rebates (iMHZEV) ]],EV_DB[[#This Row],[NT Vehicle Rebates]]),PRODUCT(EV_DB[[#This Row],[Cost, $MSRP
CAD]],0.75))</f>
        <v>75000</v>
      </c>
    </row>
    <row r="45" spans="1:44" s="1" customFormat="1" ht="15.6">
      <c r="A45" s="40" t="s">
        <v>404</v>
      </c>
      <c r="B45" s="40" t="s">
        <v>462</v>
      </c>
      <c r="C45" s="90" t="str">
        <f>EV_DB[[#This Row],[Manufacturer  ]]&amp; " " &amp;EV_DB[[#This Row],[Model]]</f>
        <v xml:space="preserve">Freightliner  eCascadia </v>
      </c>
      <c r="D45" s="40" t="s">
        <v>463</v>
      </c>
      <c r="E45" s="40">
        <v>2024</v>
      </c>
      <c r="F45" s="40">
        <v>8</v>
      </c>
      <c r="G45" s="90" t="str" cm="1">
        <f t="array" ref="G45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Heavy Duty</v>
      </c>
      <c r="H45" s="40" t="s">
        <v>464</v>
      </c>
      <c r="I45" s="41">
        <v>57000</v>
      </c>
      <c r="J45" s="71">
        <v>668028</v>
      </c>
      <c r="K45" s="92" cm="1">
        <f t="array" ref="K45">_xlfn.IFS(EV_DB[[#This Row],[Category]]="Light Duty",'Maintenance costs table'!$D$4,EV_DB[[#This Row],[Category]]="Medium Duty",'Maintenance costs table'!$D$8,EV_DB[[#This Row],[Category]]="Heavy Duty",'Maintenance costs table'!$D$6)</f>
        <v>0.43</v>
      </c>
      <c r="L45" s="42" t="s">
        <v>17</v>
      </c>
      <c r="M45" s="40" t="s">
        <v>465</v>
      </c>
      <c r="N45" s="40">
        <v>0.25</v>
      </c>
      <c r="O45" s="40" t="s">
        <v>466</v>
      </c>
      <c r="P45" s="40">
        <v>400</v>
      </c>
      <c r="Q45" s="41">
        <v>354</v>
      </c>
      <c r="R45" s="41" cm="1">
        <f t="array" ref="R45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200000</v>
      </c>
      <c r="S45" s="41"/>
      <c r="T45" s="40" cm="1">
        <f t="array" ref="T45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150000</v>
      </c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92">
        <f>MIN(MAX(EV_DB[[#This Row],[Federal Rebates (iMHZEV) ]],EV_DB[[#This Row],[ON Vehicle Rebates]]),PRODUCT(EV_DB[[#This Row],[Cost, $MSRP
CAD]],0.75))</f>
        <v>200000</v>
      </c>
      <c r="AG45" s="90">
        <f>MIN(EV_DB[[#This Row],[Federal Rebates (iMHZEV) ]]+EV_DB[[#This Row],[BC Vehicle Rebates]],PRODUCT(EV_DB[[#This Row],[Cost, $MSRP
CAD]],0.75))</f>
        <v>350000</v>
      </c>
      <c r="AH45" s="90">
        <f>MIN(EV_DB[[#This Row],[Federal Rebates (iMHZEV) ]]+EV_DB[[#This Row],[QC Vehicle Rebates]],PRODUCT(EV_DB[[#This Row],[Cost, $MSRP
CAD]],0.75))</f>
        <v>200000</v>
      </c>
      <c r="AI45" s="90">
        <f>MIN(MAX(EV_DB[[#This Row],[Federal Rebates (iMHZEV) ]],EV_DB[[#This Row],[AB Vehicle Rebates]]),PRODUCT(EV_DB[[#This Row],[Cost, $MSRP
CAD]],0.75))</f>
        <v>200000</v>
      </c>
      <c r="AJ45" s="90">
        <f>MIN(MAX(EV_DB[[#This Row],[Federal Rebates (iMHZEV) ]],EV_DB[[#This Row],[SC Vehicle Rebates]]),PRODUCT(EV_DB[[#This Row],[Cost, $MSRP
CAD]],0.75))</f>
        <v>200000</v>
      </c>
      <c r="AK45" s="90">
        <f>MIN(MAX(EV_DB[[#This Row],[Federal Rebates (iMHZEV) ]],EV_DB[[#This Row],[NS Vehicle Rebates]]),PRODUCT(EV_DB[[#This Row],[Cost, $MSRP
CAD]],0.75))</f>
        <v>200000</v>
      </c>
      <c r="AL45" s="90">
        <f>MIN(MAX(EV_DB[[#This Row],[Federal Rebates (iMHZEV) ]],EV_DB[[#This Row],[NB Vehicle Rebates]]),PRODUCT(EV_DB[[#This Row],[Cost, $MSRP
CAD]],0.75))</f>
        <v>200000</v>
      </c>
      <c r="AM45" s="90">
        <f>MIN(MAX(EV_DB[[#This Row],[Federal Rebates (iMHZEV) ]],EV_DB[[#This Row],[MB Vehicle Rebates]]),PRODUCT(EV_DB[[#This Row],[Cost, $MSRP
CAD]],0.75))</f>
        <v>200000</v>
      </c>
      <c r="AN45" s="90">
        <f>MIN(MAX(EV_DB[[#This Row],[Federal Rebates (iMHZEV) ]],EV_DB[[#This Row],[PEI Vehicle Rebates]]),PRODUCT(EV_DB[[#This Row],[Cost, $MSRP
CAD]],0.75))</f>
        <v>200000</v>
      </c>
      <c r="AO45" s="90">
        <f>MIN(MAX(EV_DB[[#This Row],[Federal Rebates (iMHZEV) ]],EV_DB[[#This Row],[NL Vehicle Rebates]]),PRODUCT(EV_DB[[#This Row],[Cost, $MSRP
CAD]],0.75))</f>
        <v>200000</v>
      </c>
      <c r="AP45" s="90">
        <f>MIN(MAX(EV_DB[[#This Row],[Federal Rebates (iMHZEV) ]]+EV_DB[[#This Row],[YT Vehicle Rebates]]),PRODUCT(EV_DB[[#This Row],[Cost, $MSRP
CAD]],0.75))</f>
        <v>200000</v>
      </c>
      <c r="AQ45" s="90">
        <f>MIN(MAX(EV_DB[[#This Row],[Federal Rebates (iMHZEV) ]],EV_DB[[#This Row],[NU Vehicle Rebates]]),PRODUCT(EV_DB[[#This Row],[Cost, $MSRP
CAD]],0.75))</f>
        <v>200000</v>
      </c>
      <c r="AR45" s="93">
        <f>MIN(MAX(EV_DB[[#This Row],[Federal Rebates (iMHZEV) ]],EV_DB[[#This Row],[NT Vehicle Rebates]]),PRODUCT(EV_DB[[#This Row],[Cost, $MSRP
CAD]],0.75))</f>
        <v>200000</v>
      </c>
    </row>
    <row r="46" spans="1:44" s="1" customFormat="1" ht="15.6">
      <c r="A46" s="40" t="s">
        <v>404</v>
      </c>
      <c r="B46" s="40" t="s">
        <v>467</v>
      </c>
      <c r="C46" s="90" t="str">
        <f>EV_DB[[#This Row],[Manufacturer  ]]&amp; " " &amp;EV_DB[[#This Row],[Model]]</f>
        <v>Freightliner eM2</v>
      </c>
      <c r="D46" s="40" t="s">
        <v>386</v>
      </c>
      <c r="E46" s="40">
        <v>2024</v>
      </c>
      <c r="F46" s="40">
        <v>7</v>
      </c>
      <c r="G46" s="90" t="str" cm="1">
        <f t="array" ref="G46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Heavy Duty</v>
      </c>
      <c r="H46" s="40" t="s">
        <v>468</v>
      </c>
      <c r="I46" s="41">
        <v>12000</v>
      </c>
      <c r="J46" s="71">
        <v>475000</v>
      </c>
      <c r="K46" s="92" cm="1">
        <f t="array" ref="K46">_xlfn.IFS(EV_DB[[#This Row],[Category]]="Light Duty",'Maintenance costs table'!$D$4,EV_DB[[#This Row],[Category]]="Medium Duty",'Maintenance costs table'!$D$8,EV_DB[[#This Row],[Category]]="Heavy Duty",'Maintenance costs table'!$D$6)</f>
        <v>0.43</v>
      </c>
      <c r="L46" s="42" t="s">
        <v>17</v>
      </c>
      <c r="M46" s="40" t="s">
        <v>469</v>
      </c>
      <c r="N46" s="40">
        <v>0.26</v>
      </c>
      <c r="O46" s="40" t="s">
        <v>470</v>
      </c>
      <c r="P46" s="40">
        <v>400</v>
      </c>
      <c r="Q46" s="41"/>
      <c r="R46" s="41" cm="1">
        <f t="array" ref="R46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100000</v>
      </c>
      <c r="S46" s="41"/>
      <c r="T46" s="40" cm="1">
        <f t="array" ref="T46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100000</v>
      </c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92">
        <f>MIN(MAX(EV_DB[[#This Row],[Federal Rebates (iMHZEV) ]],EV_DB[[#This Row],[ON Vehicle Rebates]]),PRODUCT(EV_DB[[#This Row],[Cost, $MSRP
CAD]],0.75))</f>
        <v>100000</v>
      </c>
      <c r="AG46" s="90">
        <f>MIN(EV_DB[[#This Row],[Federal Rebates (iMHZEV) ]]+EV_DB[[#This Row],[BC Vehicle Rebates]],PRODUCT(EV_DB[[#This Row],[Cost, $MSRP
CAD]],0.75))</f>
        <v>200000</v>
      </c>
      <c r="AH46" s="90">
        <f>MIN(EV_DB[[#This Row],[Federal Rebates (iMHZEV) ]]+EV_DB[[#This Row],[QC Vehicle Rebates]],PRODUCT(EV_DB[[#This Row],[Cost, $MSRP
CAD]],0.75))</f>
        <v>100000</v>
      </c>
      <c r="AI46" s="90">
        <f>MIN(MAX(EV_DB[[#This Row],[Federal Rebates (iMHZEV) ]],EV_DB[[#This Row],[AB Vehicle Rebates]]),PRODUCT(EV_DB[[#This Row],[Cost, $MSRP
CAD]],0.75))</f>
        <v>100000</v>
      </c>
      <c r="AJ46" s="90">
        <f>MIN(MAX(EV_DB[[#This Row],[Federal Rebates (iMHZEV) ]],EV_DB[[#This Row],[SC Vehicle Rebates]]),PRODUCT(EV_DB[[#This Row],[Cost, $MSRP
CAD]],0.75))</f>
        <v>100000</v>
      </c>
      <c r="AK46" s="90">
        <f>MIN(MAX(EV_DB[[#This Row],[Federal Rebates (iMHZEV) ]],EV_DB[[#This Row],[NS Vehicle Rebates]]),PRODUCT(EV_DB[[#This Row],[Cost, $MSRP
CAD]],0.75))</f>
        <v>100000</v>
      </c>
      <c r="AL46" s="90">
        <f>MIN(MAX(EV_DB[[#This Row],[Federal Rebates (iMHZEV) ]],EV_DB[[#This Row],[NB Vehicle Rebates]]),PRODUCT(EV_DB[[#This Row],[Cost, $MSRP
CAD]],0.75))</f>
        <v>100000</v>
      </c>
      <c r="AM46" s="90">
        <f>MIN(MAX(EV_DB[[#This Row],[Federal Rebates (iMHZEV) ]],EV_DB[[#This Row],[MB Vehicle Rebates]]),PRODUCT(EV_DB[[#This Row],[Cost, $MSRP
CAD]],0.75))</f>
        <v>100000</v>
      </c>
      <c r="AN46" s="90">
        <f>MIN(MAX(EV_DB[[#This Row],[Federal Rebates (iMHZEV) ]],EV_DB[[#This Row],[PEI Vehicle Rebates]]),PRODUCT(EV_DB[[#This Row],[Cost, $MSRP
CAD]],0.75))</f>
        <v>100000</v>
      </c>
      <c r="AO46" s="90">
        <f>MIN(MAX(EV_DB[[#This Row],[Federal Rebates (iMHZEV) ]],EV_DB[[#This Row],[NL Vehicle Rebates]]),PRODUCT(EV_DB[[#This Row],[Cost, $MSRP
CAD]],0.75))</f>
        <v>100000</v>
      </c>
      <c r="AP46" s="90">
        <f>MIN(MAX(EV_DB[[#This Row],[Federal Rebates (iMHZEV) ]]+EV_DB[[#This Row],[YT Vehicle Rebates]]),PRODUCT(EV_DB[[#This Row],[Cost, $MSRP
CAD]],0.75))</f>
        <v>100000</v>
      </c>
      <c r="AQ46" s="90">
        <f>MIN(MAX(EV_DB[[#This Row],[Federal Rebates (iMHZEV) ]],EV_DB[[#This Row],[NU Vehicle Rebates]]),PRODUCT(EV_DB[[#This Row],[Cost, $MSRP
CAD]],0.75))</f>
        <v>100000</v>
      </c>
      <c r="AR46" s="93">
        <f>MIN(MAX(EV_DB[[#This Row],[Federal Rebates (iMHZEV) ]],EV_DB[[#This Row],[NT Vehicle Rebates]]),PRODUCT(EV_DB[[#This Row],[Cost, $MSRP
CAD]],0.75))</f>
        <v>100000</v>
      </c>
    </row>
    <row r="47" spans="1:44" s="1" customFormat="1" ht="15.6">
      <c r="A47" s="40" t="s">
        <v>471</v>
      </c>
      <c r="B47" s="40" t="s">
        <v>472</v>
      </c>
      <c r="C47" s="90" t="str">
        <f>EV_DB[[#This Row],[Manufacturer  ]]&amp; " " &amp;EV_DB[[#This Row],[Model]]</f>
        <v xml:space="preserve">Mack MD Electric </v>
      </c>
      <c r="D47" s="40" t="s">
        <v>386</v>
      </c>
      <c r="E47" s="40">
        <v>2024</v>
      </c>
      <c r="F47" s="40">
        <v>7</v>
      </c>
      <c r="G47" s="90" t="str" cm="1">
        <f t="array" ref="G47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Heavy Duty</v>
      </c>
      <c r="H47" s="40" t="s">
        <v>473</v>
      </c>
      <c r="I47" s="41">
        <v>19400</v>
      </c>
      <c r="J47" s="71">
        <v>450000</v>
      </c>
      <c r="K47" s="92" cm="1">
        <f t="array" ref="K47">_xlfn.IFS(EV_DB[[#This Row],[Category]]="Light Duty",'Maintenance costs table'!$D$4,EV_DB[[#This Row],[Category]]="Medium Duty",'Maintenance costs table'!$D$8,EV_DB[[#This Row],[Category]]="Heavy Duty",'Maintenance costs table'!$D$6)</f>
        <v>0.43</v>
      </c>
      <c r="L47" s="42" t="s">
        <v>17</v>
      </c>
      <c r="M47" s="40" t="s">
        <v>474</v>
      </c>
      <c r="N47" s="40">
        <v>0.27</v>
      </c>
      <c r="O47" s="40"/>
      <c r="P47" s="40">
        <v>394</v>
      </c>
      <c r="Q47" s="41">
        <v>370</v>
      </c>
      <c r="R47" s="41" cm="1">
        <f t="array" ref="R47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100000</v>
      </c>
      <c r="S47" s="41"/>
      <c r="T47" s="40" cm="1">
        <f t="array" ref="T47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100000</v>
      </c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92">
        <f>MIN(MAX(EV_DB[[#This Row],[Federal Rebates (iMHZEV) ]],EV_DB[[#This Row],[ON Vehicle Rebates]]),PRODUCT(EV_DB[[#This Row],[Cost, $MSRP
CAD]],0.75))</f>
        <v>100000</v>
      </c>
      <c r="AG47" s="90">
        <f>MIN(EV_DB[[#This Row],[Federal Rebates (iMHZEV) ]]+EV_DB[[#This Row],[BC Vehicle Rebates]],PRODUCT(EV_DB[[#This Row],[Cost, $MSRP
CAD]],0.75))</f>
        <v>200000</v>
      </c>
      <c r="AH47" s="90">
        <f>MIN(EV_DB[[#This Row],[Federal Rebates (iMHZEV) ]]+EV_DB[[#This Row],[QC Vehicle Rebates]],PRODUCT(EV_DB[[#This Row],[Cost, $MSRP
CAD]],0.75))</f>
        <v>100000</v>
      </c>
      <c r="AI47" s="90">
        <f>MIN(MAX(EV_DB[[#This Row],[Federal Rebates (iMHZEV) ]],EV_DB[[#This Row],[AB Vehicle Rebates]]),PRODUCT(EV_DB[[#This Row],[Cost, $MSRP
CAD]],0.75))</f>
        <v>100000</v>
      </c>
      <c r="AJ47" s="90">
        <f>MIN(MAX(EV_DB[[#This Row],[Federal Rebates (iMHZEV) ]],EV_DB[[#This Row],[SC Vehicle Rebates]]),PRODUCT(EV_DB[[#This Row],[Cost, $MSRP
CAD]],0.75))</f>
        <v>100000</v>
      </c>
      <c r="AK47" s="90">
        <f>MIN(MAX(EV_DB[[#This Row],[Federal Rebates (iMHZEV) ]],EV_DB[[#This Row],[NS Vehicle Rebates]]),PRODUCT(EV_DB[[#This Row],[Cost, $MSRP
CAD]],0.75))</f>
        <v>100000</v>
      </c>
      <c r="AL47" s="90">
        <f>MIN(MAX(EV_DB[[#This Row],[Federal Rebates (iMHZEV) ]],EV_DB[[#This Row],[NB Vehicle Rebates]]),PRODUCT(EV_DB[[#This Row],[Cost, $MSRP
CAD]],0.75))</f>
        <v>100000</v>
      </c>
      <c r="AM47" s="90">
        <f>MIN(MAX(EV_DB[[#This Row],[Federal Rebates (iMHZEV) ]],EV_DB[[#This Row],[MB Vehicle Rebates]]),PRODUCT(EV_DB[[#This Row],[Cost, $MSRP
CAD]],0.75))</f>
        <v>100000</v>
      </c>
      <c r="AN47" s="90">
        <f>MIN(MAX(EV_DB[[#This Row],[Federal Rebates (iMHZEV) ]],EV_DB[[#This Row],[PEI Vehicle Rebates]]),PRODUCT(EV_DB[[#This Row],[Cost, $MSRP
CAD]],0.75))</f>
        <v>100000</v>
      </c>
      <c r="AO47" s="90">
        <f>MIN(MAX(EV_DB[[#This Row],[Federal Rebates (iMHZEV) ]],EV_DB[[#This Row],[NL Vehicle Rebates]]),PRODUCT(EV_DB[[#This Row],[Cost, $MSRP
CAD]],0.75))</f>
        <v>100000</v>
      </c>
      <c r="AP47" s="90">
        <f>MIN(MAX(EV_DB[[#This Row],[Federal Rebates (iMHZEV) ]]+EV_DB[[#This Row],[YT Vehicle Rebates]]),PRODUCT(EV_DB[[#This Row],[Cost, $MSRP
CAD]],0.75))</f>
        <v>100000</v>
      </c>
      <c r="AQ47" s="90">
        <f>MIN(MAX(EV_DB[[#This Row],[Federal Rebates (iMHZEV) ]],EV_DB[[#This Row],[NU Vehicle Rebates]]),PRODUCT(EV_DB[[#This Row],[Cost, $MSRP
CAD]],0.75))</f>
        <v>100000</v>
      </c>
      <c r="AR47" s="93">
        <f>MIN(MAX(EV_DB[[#This Row],[Federal Rebates (iMHZEV) ]],EV_DB[[#This Row],[NT Vehicle Rebates]]),PRODUCT(EV_DB[[#This Row],[Cost, $MSRP
CAD]],0.75))</f>
        <v>100000</v>
      </c>
    </row>
    <row r="48" spans="1:44" s="1" customFormat="1" ht="46.5">
      <c r="A48" s="40" t="s">
        <v>471</v>
      </c>
      <c r="B48" s="40" t="s">
        <v>475</v>
      </c>
      <c r="C48" s="90" t="str">
        <f>EV_DB[[#This Row],[Manufacturer  ]]&amp; " " &amp;EV_DB[[#This Row],[Model]]</f>
        <v>Mack LR Electric</v>
      </c>
      <c r="D48" s="40" t="s">
        <v>476</v>
      </c>
      <c r="E48" s="40">
        <v>2024</v>
      </c>
      <c r="F48" s="40">
        <v>8</v>
      </c>
      <c r="G48" s="90" t="str" cm="1">
        <f t="array" ref="G48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Heavy Duty</v>
      </c>
      <c r="H48" s="45">
        <v>66000</v>
      </c>
      <c r="I48" s="41">
        <v>25500</v>
      </c>
      <c r="J48" s="71">
        <v>935000</v>
      </c>
      <c r="K48" s="92" cm="1">
        <f t="array" ref="K48">_xlfn.IFS(EV_DB[[#This Row],[Category]]="Light Duty",'Maintenance costs table'!$D$4,EV_DB[[#This Row],[Category]]="Medium Duty",'Maintenance costs table'!$D$8,EV_DB[[#This Row],[Category]]="Heavy Duty",'Maintenance costs table'!$D$6)</f>
        <v>0.43</v>
      </c>
      <c r="L48" s="42" t="s">
        <v>17</v>
      </c>
      <c r="M48" s="40" t="s">
        <v>477</v>
      </c>
      <c r="N48" s="40">
        <v>0.28999999999999998</v>
      </c>
      <c r="O48" s="40" t="s">
        <v>478</v>
      </c>
      <c r="P48" s="40">
        <v>600</v>
      </c>
      <c r="Q48" s="41"/>
      <c r="R48" s="41" cm="1">
        <f t="array" ref="R48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200000</v>
      </c>
      <c r="S48" s="41"/>
      <c r="T48" s="40" cm="1">
        <f t="array" ref="T48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150000</v>
      </c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92">
        <f>MIN(MAX(EV_DB[[#This Row],[Federal Rebates (iMHZEV) ]],EV_DB[[#This Row],[ON Vehicle Rebates]]),PRODUCT(EV_DB[[#This Row],[Cost, $MSRP
CAD]],0.75))</f>
        <v>200000</v>
      </c>
      <c r="AG48" s="90">
        <f>MIN(EV_DB[[#This Row],[Federal Rebates (iMHZEV) ]]+EV_DB[[#This Row],[BC Vehicle Rebates]],PRODUCT(EV_DB[[#This Row],[Cost, $MSRP
CAD]],0.75))</f>
        <v>350000</v>
      </c>
      <c r="AH48" s="90">
        <f>MIN(EV_DB[[#This Row],[Federal Rebates (iMHZEV) ]]+EV_DB[[#This Row],[QC Vehicle Rebates]],PRODUCT(EV_DB[[#This Row],[Cost, $MSRP
CAD]],0.75))</f>
        <v>200000</v>
      </c>
      <c r="AI48" s="90">
        <f>MIN(MAX(EV_DB[[#This Row],[Federal Rebates (iMHZEV) ]],EV_DB[[#This Row],[AB Vehicle Rebates]]),PRODUCT(EV_DB[[#This Row],[Cost, $MSRP
CAD]],0.75))</f>
        <v>200000</v>
      </c>
      <c r="AJ48" s="90">
        <f>MIN(MAX(EV_DB[[#This Row],[Federal Rebates (iMHZEV) ]],EV_DB[[#This Row],[SC Vehicle Rebates]]),PRODUCT(EV_DB[[#This Row],[Cost, $MSRP
CAD]],0.75))</f>
        <v>200000</v>
      </c>
      <c r="AK48" s="90">
        <f>MIN(MAX(EV_DB[[#This Row],[Federal Rebates (iMHZEV) ]],EV_DB[[#This Row],[NS Vehicle Rebates]]),PRODUCT(EV_DB[[#This Row],[Cost, $MSRP
CAD]],0.75))</f>
        <v>200000</v>
      </c>
      <c r="AL48" s="90">
        <f>MIN(MAX(EV_DB[[#This Row],[Federal Rebates (iMHZEV) ]],EV_DB[[#This Row],[NB Vehicle Rebates]]),PRODUCT(EV_DB[[#This Row],[Cost, $MSRP
CAD]],0.75))</f>
        <v>200000</v>
      </c>
      <c r="AM48" s="90">
        <f>MIN(MAX(EV_DB[[#This Row],[Federal Rebates (iMHZEV) ]],EV_DB[[#This Row],[MB Vehicle Rebates]]),PRODUCT(EV_DB[[#This Row],[Cost, $MSRP
CAD]],0.75))</f>
        <v>200000</v>
      </c>
      <c r="AN48" s="90">
        <f>MIN(MAX(EV_DB[[#This Row],[Federal Rebates (iMHZEV) ]],EV_DB[[#This Row],[PEI Vehicle Rebates]]),PRODUCT(EV_DB[[#This Row],[Cost, $MSRP
CAD]],0.75))</f>
        <v>200000</v>
      </c>
      <c r="AO48" s="90">
        <f>MIN(MAX(EV_DB[[#This Row],[Federal Rebates (iMHZEV) ]],EV_DB[[#This Row],[NL Vehicle Rebates]]),PRODUCT(EV_DB[[#This Row],[Cost, $MSRP
CAD]],0.75))</f>
        <v>200000</v>
      </c>
      <c r="AP48" s="90">
        <f>MIN(MAX(EV_DB[[#This Row],[Federal Rebates (iMHZEV) ]]+EV_DB[[#This Row],[YT Vehicle Rebates]]),PRODUCT(EV_DB[[#This Row],[Cost, $MSRP
CAD]],0.75))</f>
        <v>200000</v>
      </c>
      <c r="AQ48" s="90">
        <f>MIN(MAX(EV_DB[[#This Row],[Federal Rebates (iMHZEV) ]],EV_DB[[#This Row],[NU Vehicle Rebates]]),PRODUCT(EV_DB[[#This Row],[Cost, $MSRP
CAD]],0.75))</f>
        <v>200000</v>
      </c>
      <c r="AR48" s="93">
        <f>MIN(MAX(EV_DB[[#This Row],[Federal Rebates (iMHZEV) ]],EV_DB[[#This Row],[NT Vehicle Rebates]]),PRODUCT(EV_DB[[#This Row],[Cost, $MSRP
CAD]],0.75))</f>
        <v>200000</v>
      </c>
    </row>
    <row r="49" spans="1:44" s="1" customFormat="1" ht="15.6">
      <c r="A49" s="40" t="s">
        <v>447</v>
      </c>
      <c r="B49" s="40" t="s">
        <v>479</v>
      </c>
      <c r="C49" s="90" t="str">
        <f>EV_DB[[#This Row],[Manufacturer  ]]&amp; " " &amp;EV_DB[[#This Row],[Model]]</f>
        <v>Peterbilt 520EV</v>
      </c>
      <c r="D49" s="40" t="s">
        <v>476</v>
      </c>
      <c r="E49" s="40">
        <v>2024</v>
      </c>
      <c r="F49" s="40">
        <v>8</v>
      </c>
      <c r="G49" s="90" t="str" cm="1">
        <f t="array" ref="G49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Heavy Duty</v>
      </c>
      <c r="H49" s="45">
        <v>66000</v>
      </c>
      <c r="I49" s="41">
        <v>25500</v>
      </c>
      <c r="J49" s="71">
        <v>844487</v>
      </c>
      <c r="K49" s="92" cm="1">
        <f t="array" ref="K49">_xlfn.IFS(EV_DB[[#This Row],[Category]]="Light Duty",'Maintenance costs table'!$D$4,EV_DB[[#This Row],[Category]]="Medium Duty",'Maintenance costs table'!$D$8,EV_DB[[#This Row],[Category]]="Heavy Duty",'Maintenance costs table'!$D$6)</f>
        <v>0.43</v>
      </c>
      <c r="L49" s="42" t="s">
        <v>17</v>
      </c>
      <c r="M49" s="40" t="s">
        <v>480</v>
      </c>
      <c r="N49" s="40">
        <v>0.28999999999999998</v>
      </c>
      <c r="O49" s="40" t="s">
        <v>481</v>
      </c>
      <c r="P49" s="40"/>
      <c r="Q49" s="41">
        <v>129</v>
      </c>
      <c r="R49" s="41" cm="1">
        <f t="array" ref="R49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200000</v>
      </c>
      <c r="S49" s="41"/>
      <c r="T49" s="40" cm="1">
        <f t="array" ref="T49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150000</v>
      </c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95">
        <f>MIN(MAX(EV_DB[[#This Row],[Federal Rebates (iMHZEV) ]],EV_DB[[#This Row],[ON Vehicle Rebates]]),PRODUCT(EV_DB[[#This Row],[Cost, $MSRP
CAD]],0.75))</f>
        <v>200000</v>
      </c>
      <c r="AG49" s="90">
        <f>MIN(EV_DB[[#This Row],[Federal Rebates (iMHZEV) ]]+EV_DB[[#This Row],[BC Vehicle Rebates]],PRODUCT(EV_DB[[#This Row],[Cost, $MSRP
CAD]],0.75))</f>
        <v>350000</v>
      </c>
      <c r="AH49" s="90">
        <f>MIN(EV_DB[[#This Row],[Federal Rebates (iMHZEV) ]]+EV_DB[[#This Row],[QC Vehicle Rebates]],PRODUCT(EV_DB[[#This Row],[Cost, $MSRP
CAD]],0.75))</f>
        <v>200000</v>
      </c>
      <c r="AI49" s="90">
        <f>MIN(MAX(EV_DB[[#This Row],[Federal Rebates (iMHZEV) ]],EV_DB[[#This Row],[AB Vehicle Rebates]]),PRODUCT(EV_DB[[#This Row],[Cost, $MSRP
CAD]],0.75))</f>
        <v>200000</v>
      </c>
      <c r="AJ49" s="90">
        <f>MIN(MAX(EV_DB[[#This Row],[Federal Rebates (iMHZEV) ]],EV_DB[[#This Row],[SC Vehicle Rebates]]),PRODUCT(EV_DB[[#This Row],[Cost, $MSRP
CAD]],0.75))</f>
        <v>200000</v>
      </c>
      <c r="AK49" s="90">
        <f>MIN(MAX(EV_DB[[#This Row],[Federal Rebates (iMHZEV) ]],EV_DB[[#This Row],[NS Vehicle Rebates]]),PRODUCT(EV_DB[[#This Row],[Cost, $MSRP
CAD]],0.75))</f>
        <v>200000</v>
      </c>
      <c r="AL49" s="90">
        <f>MIN(MAX(EV_DB[[#This Row],[Federal Rebates (iMHZEV) ]],EV_DB[[#This Row],[NB Vehicle Rebates]]),PRODUCT(EV_DB[[#This Row],[Cost, $MSRP
CAD]],0.75))</f>
        <v>200000</v>
      </c>
      <c r="AM49" s="90">
        <f>MIN(MAX(EV_DB[[#This Row],[Federal Rebates (iMHZEV) ]],EV_DB[[#This Row],[MB Vehicle Rebates]]),PRODUCT(EV_DB[[#This Row],[Cost, $MSRP
CAD]],0.75))</f>
        <v>200000</v>
      </c>
      <c r="AN49" s="90">
        <f>MIN(MAX(EV_DB[[#This Row],[Federal Rebates (iMHZEV) ]],EV_DB[[#This Row],[PEI Vehicle Rebates]]),PRODUCT(EV_DB[[#This Row],[Cost, $MSRP
CAD]],0.75))</f>
        <v>200000</v>
      </c>
      <c r="AO49" s="90">
        <f>MIN(MAX(EV_DB[[#This Row],[Federal Rebates (iMHZEV) ]],EV_DB[[#This Row],[NL Vehicle Rebates]]),PRODUCT(EV_DB[[#This Row],[Cost, $MSRP
CAD]],0.75))</f>
        <v>200000</v>
      </c>
      <c r="AP49" s="90">
        <f>MIN(MAX(EV_DB[[#This Row],[Federal Rebates (iMHZEV) ]]+EV_DB[[#This Row],[YT Vehicle Rebates]]),PRODUCT(EV_DB[[#This Row],[Cost, $MSRP
CAD]],0.75))</f>
        <v>200000</v>
      </c>
      <c r="AQ49" s="90">
        <f>MIN(MAX(EV_DB[[#This Row],[Federal Rebates (iMHZEV) ]],EV_DB[[#This Row],[NU Vehicle Rebates]]),PRODUCT(EV_DB[[#This Row],[Cost, $MSRP
CAD]],0.75))</f>
        <v>200000</v>
      </c>
      <c r="AR49" s="93">
        <f>MIN(MAX(EV_DB[[#This Row],[Federal Rebates (iMHZEV) ]],EV_DB[[#This Row],[NT Vehicle Rebates]]),PRODUCT(EV_DB[[#This Row],[Cost, $MSRP
CAD]],0.75))</f>
        <v>200000</v>
      </c>
    </row>
    <row r="50" spans="1:44" s="1" customFormat="1" ht="46.5">
      <c r="A50" s="40" t="s">
        <v>482</v>
      </c>
      <c r="B50" s="40" t="s">
        <v>483</v>
      </c>
      <c r="C50" s="90" t="str">
        <f>EV_DB[[#This Row],[Manufacturer  ]]&amp; " " &amp;EV_DB[[#This Row],[Model]]</f>
        <v>Battle Motors LET2 Refuse Automated Side Loader (ASL)</v>
      </c>
      <c r="D50" s="40" t="s">
        <v>476</v>
      </c>
      <c r="E50" s="40">
        <v>2024</v>
      </c>
      <c r="F50" s="40">
        <v>8</v>
      </c>
      <c r="G50" s="90" t="str" cm="1">
        <f t="array" ref="G50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Heavy Duty</v>
      </c>
      <c r="H50" s="45">
        <v>66000</v>
      </c>
      <c r="I50" s="41">
        <v>19114</v>
      </c>
      <c r="J50" s="71">
        <v>779000</v>
      </c>
      <c r="K50" s="92" cm="1">
        <f t="array" ref="K50">_xlfn.IFS(EV_DB[[#This Row],[Category]]="Light Duty",'Maintenance costs table'!$D$4,EV_DB[[#This Row],[Category]]="Medium Duty",'Maintenance costs table'!$D$8,EV_DB[[#This Row],[Category]]="Heavy Duty",'Maintenance costs table'!$D$6)</f>
        <v>0.43</v>
      </c>
      <c r="L50" s="42" t="s">
        <v>17</v>
      </c>
      <c r="M50" s="40" t="s">
        <v>484</v>
      </c>
      <c r="N50" s="40">
        <v>0.32</v>
      </c>
      <c r="O50" s="40" t="s">
        <v>485</v>
      </c>
      <c r="P50" s="40" t="s">
        <v>486</v>
      </c>
      <c r="Q50" s="41">
        <v>340</v>
      </c>
      <c r="R50" s="41" cm="1">
        <f t="array" ref="R50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200000</v>
      </c>
      <c r="S50" s="41"/>
      <c r="T50" s="40" cm="1">
        <f t="array" ref="T50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150000</v>
      </c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92">
        <f>MIN(MAX(EV_DB[[#This Row],[Federal Rebates (iMHZEV) ]],EV_DB[[#This Row],[ON Vehicle Rebates]]),PRODUCT(EV_DB[[#This Row],[Cost, $MSRP
CAD]],0.75))</f>
        <v>200000</v>
      </c>
      <c r="AG50" s="90">
        <f>MIN(EV_DB[[#This Row],[Federal Rebates (iMHZEV) ]]+EV_DB[[#This Row],[BC Vehicle Rebates]],PRODUCT(EV_DB[[#This Row],[Cost, $MSRP
CAD]],0.75))</f>
        <v>350000</v>
      </c>
      <c r="AH50" s="90">
        <f>MIN(EV_DB[[#This Row],[Federal Rebates (iMHZEV) ]]+EV_DB[[#This Row],[QC Vehicle Rebates]],PRODUCT(EV_DB[[#This Row],[Cost, $MSRP
CAD]],0.75))</f>
        <v>200000</v>
      </c>
      <c r="AI50" s="90">
        <f>MIN(MAX(EV_DB[[#This Row],[Federal Rebates (iMHZEV) ]],EV_DB[[#This Row],[AB Vehicle Rebates]]),PRODUCT(EV_DB[[#This Row],[Cost, $MSRP
CAD]],0.75))</f>
        <v>200000</v>
      </c>
      <c r="AJ50" s="90">
        <f>MIN(MAX(EV_DB[[#This Row],[Federal Rebates (iMHZEV) ]],EV_DB[[#This Row],[SC Vehicle Rebates]]),PRODUCT(EV_DB[[#This Row],[Cost, $MSRP
CAD]],0.75))</f>
        <v>200000</v>
      </c>
      <c r="AK50" s="90">
        <f>MIN(MAX(EV_DB[[#This Row],[Federal Rebates (iMHZEV) ]],EV_DB[[#This Row],[NS Vehicle Rebates]]),PRODUCT(EV_DB[[#This Row],[Cost, $MSRP
CAD]],0.75))</f>
        <v>200000</v>
      </c>
      <c r="AL50" s="90">
        <f>MIN(MAX(EV_DB[[#This Row],[Federal Rebates (iMHZEV) ]],EV_DB[[#This Row],[NB Vehicle Rebates]]),PRODUCT(EV_DB[[#This Row],[Cost, $MSRP
CAD]],0.75))</f>
        <v>200000</v>
      </c>
      <c r="AM50" s="90">
        <f>MIN(MAX(EV_DB[[#This Row],[Federal Rebates (iMHZEV) ]],EV_DB[[#This Row],[MB Vehicle Rebates]]),PRODUCT(EV_DB[[#This Row],[Cost, $MSRP
CAD]],0.75))</f>
        <v>200000</v>
      </c>
      <c r="AN50" s="90">
        <f>MIN(MAX(EV_DB[[#This Row],[Federal Rebates (iMHZEV) ]],EV_DB[[#This Row],[PEI Vehicle Rebates]]),PRODUCT(EV_DB[[#This Row],[Cost, $MSRP
CAD]],0.75))</f>
        <v>200000</v>
      </c>
      <c r="AO50" s="90">
        <f>MIN(MAX(EV_DB[[#This Row],[Federal Rebates (iMHZEV) ]],EV_DB[[#This Row],[NL Vehicle Rebates]]),PRODUCT(EV_DB[[#This Row],[Cost, $MSRP
CAD]],0.75))</f>
        <v>200000</v>
      </c>
      <c r="AP50" s="90">
        <f>MIN(MAX(EV_DB[[#This Row],[Federal Rebates (iMHZEV) ]]+EV_DB[[#This Row],[YT Vehicle Rebates]]),PRODUCT(EV_DB[[#This Row],[Cost, $MSRP
CAD]],0.75))</f>
        <v>200000</v>
      </c>
      <c r="AQ50" s="90">
        <f>MIN(MAX(EV_DB[[#This Row],[Federal Rebates (iMHZEV) ]],EV_DB[[#This Row],[NU Vehicle Rebates]]),PRODUCT(EV_DB[[#This Row],[Cost, $MSRP
CAD]],0.75))</f>
        <v>200000</v>
      </c>
      <c r="AR50" s="93">
        <f>MIN(MAX(EV_DB[[#This Row],[Federal Rebates (iMHZEV) ]],EV_DB[[#This Row],[NT Vehicle Rebates]]),PRODUCT(EV_DB[[#This Row],[Cost, $MSRP
CAD]],0.75))</f>
        <v>200000</v>
      </c>
    </row>
    <row r="51" spans="1:44" s="1" customFormat="1" ht="46.5">
      <c r="A51" s="40" t="s">
        <v>487</v>
      </c>
      <c r="B51" s="40" t="s">
        <v>488</v>
      </c>
      <c r="C51" s="90" t="str">
        <f>EV_DB[[#This Row],[Manufacturer  ]]&amp; " " &amp;EV_DB[[#This Row],[Model]]</f>
        <v>OrangeEV e-TRIEVER New 6x2
Extended Duty</v>
      </c>
      <c r="D51" s="40" t="s">
        <v>489</v>
      </c>
      <c r="E51" s="40">
        <v>2024</v>
      </c>
      <c r="F51" s="40">
        <v>8</v>
      </c>
      <c r="G51" s="90" t="str" cm="1">
        <f t="array" ref="G51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Heavy Duty</v>
      </c>
      <c r="H51" s="45">
        <v>81000</v>
      </c>
      <c r="I51" s="41">
        <v>45000</v>
      </c>
      <c r="J51" s="71">
        <v>490405</v>
      </c>
      <c r="K51" s="92" cm="1">
        <f t="array" ref="K51">_xlfn.IFS(EV_DB[[#This Row],[Category]]="Light Duty",'Maintenance costs table'!$D$4,EV_DB[[#This Row],[Category]]="Medium Duty",'Maintenance costs table'!$D$8,EV_DB[[#This Row],[Category]]="Heavy Duty",'Maintenance costs table'!$D$6)</f>
        <v>0.43</v>
      </c>
      <c r="L51" s="42" t="s">
        <v>17</v>
      </c>
      <c r="M51" s="40" t="s">
        <v>490</v>
      </c>
      <c r="N51" s="40">
        <v>0.32</v>
      </c>
      <c r="O51" s="40" t="s">
        <v>491</v>
      </c>
      <c r="P51" s="40"/>
      <c r="Q51" s="41"/>
      <c r="R51" s="41">
        <v>100000</v>
      </c>
      <c r="S51" s="41"/>
      <c r="T51" s="40" cm="1">
        <f t="array" ref="T51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150000</v>
      </c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92">
        <f>MIN(MAX(EV_DB[[#This Row],[Federal Rebates (iMHZEV) ]],EV_DB[[#This Row],[ON Vehicle Rebates]]),PRODUCT(EV_DB[[#This Row],[Cost, $MSRP
CAD]],0.75))</f>
        <v>100000</v>
      </c>
      <c r="AG51" s="90">
        <f>MIN(EV_DB[[#This Row],[Federal Rebates (iMHZEV) ]]+EV_DB[[#This Row],[BC Vehicle Rebates]],PRODUCT(EV_DB[[#This Row],[Cost, $MSRP
CAD]],0.75))</f>
        <v>250000</v>
      </c>
      <c r="AH51" s="90">
        <f>MIN(EV_DB[[#This Row],[Federal Rebates (iMHZEV) ]]+EV_DB[[#This Row],[QC Vehicle Rebates]],PRODUCT(EV_DB[[#This Row],[Cost, $MSRP
CAD]],0.75))</f>
        <v>100000</v>
      </c>
      <c r="AI51" s="90">
        <f>MIN(MAX(EV_DB[[#This Row],[Federal Rebates (iMHZEV) ]],EV_DB[[#This Row],[AB Vehicle Rebates]]),PRODUCT(EV_DB[[#This Row],[Cost, $MSRP
CAD]],0.75))</f>
        <v>100000</v>
      </c>
      <c r="AJ51" s="90">
        <f>MIN(MAX(EV_DB[[#This Row],[Federal Rebates (iMHZEV) ]],EV_DB[[#This Row],[SC Vehicle Rebates]]),PRODUCT(EV_DB[[#This Row],[Cost, $MSRP
CAD]],0.75))</f>
        <v>100000</v>
      </c>
      <c r="AK51" s="90">
        <f>MIN(MAX(EV_DB[[#This Row],[Federal Rebates (iMHZEV) ]],EV_DB[[#This Row],[NS Vehicle Rebates]]),PRODUCT(EV_DB[[#This Row],[Cost, $MSRP
CAD]],0.75))</f>
        <v>100000</v>
      </c>
      <c r="AL51" s="90">
        <f>MIN(MAX(EV_DB[[#This Row],[Federal Rebates (iMHZEV) ]],EV_DB[[#This Row],[NB Vehicle Rebates]]),PRODUCT(EV_DB[[#This Row],[Cost, $MSRP
CAD]],0.75))</f>
        <v>100000</v>
      </c>
      <c r="AM51" s="90">
        <f>MIN(MAX(EV_DB[[#This Row],[Federal Rebates (iMHZEV) ]],EV_DB[[#This Row],[MB Vehicle Rebates]]),PRODUCT(EV_DB[[#This Row],[Cost, $MSRP
CAD]],0.75))</f>
        <v>100000</v>
      </c>
      <c r="AN51" s="90">
        <f>MIN(MAX(EV_DB[[#This Row],[Federal Rebates (iMHZEV) ]],EV_DB[[#This Row],[PEI Vehicle Rebates]]),PRODUCT(EV_DB[[#This Row],[Cost, $MSRP
CAD]],0.75))</f>
        <v>100000</v>
      </c>
      <c r="AO51" s="90">
        <f>MIN(MAX(EV_DB[[#This Row],[Federal Rebates (iMHZEV) ]],EV_DB[[#This Row],[NL Vehicle Rebates]]),PRODUCT(EV_DB[[#This Row],[Cost, $MSRP
CAD]],0.75))</f>
        <v>100000</v>
      </c>
      <c r="AP51" s="90">
        <f>MIN(MAX(EV_DB[[#This Row],[Federal Rebates (iMHZEV) ]]+EV_DB[[#This Row],[YT Vehicle Rebates]]),PRODUCT(EV_DB[[#This Row],[Cost, $MSRP
CAD]],0.75))</f>
        <v>100000</v>
      </c>
      <c r="AQ51" s="90">
        <f>MIN(MAX(EV_DB[[#This Row],[Federal Rebates (iMHZEV) ]],EV_DB[[#This Row],[NU Vehicle Rebates]]),PRODUCT(EV_DB[[#This Row],[Cost, $MSRP
CAD]],0.75))</f>
        <v>100000</v>
      </c>
      <c r="AR51" s="93">
        <f>MIN(MAX(EV_DB[[#This Row],[Federal Rebates (iMHZEV) ]],EV_DB[[#This Row],[NT Vehicle Rebates]]),PRODUCT(EV_DB[[#This Row],[Cost, $MSRP
CAD]],0.75))</f>
        <v>100000</v>
      </c>
    </row>
    <row r="52" spans="1:44" s="1" customFormat="1" ht="15.6">
      <c r="A52" s="40" t="s">
        <v>487</v>
      </c>
      <c r="B52" s="40" t="s">
        <v>492</v>
      </c>
      <c r="C52" s="90" t="str">
        <f>EV_DB[[#This Row],[Manufacturer  ]]&amp; " " &amp;EV_DB[[#This Row],[Model]]</f>
        <v>OrangeEV HUSK-e Rail</v>
      </c>
      <c r="D52" s="40" t="s">
        <v>489</v>
      </c>
      <c r="E52" s="40">
        <v>2024</v>
      </c>
      <c r="F52" s="40">
        <v>8</v>
      </c>
      <c r="G52" s="90" t="str" cm="1">
        <f t="array" ref="G52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Heavy Duty</v>
      </c>
      <c r="H52" s="45">
        <v>81000</v>
      </c>
      <c r="I52" s="41">
        <v>45000</v>
      </c>
      <c r="J52" s="71">
        <v>501064</v>
      </c>
      <c r="K52" s="92" cm="1">
        <f t="array" ref="K52">_xlfn.IFS(EV_DB[[#This Row],[Category]]="Light Duty",'Maintenance costs table'!$D$4,EV_DB[[#This Row],[Category]]="Medium Duty",'Maintenance costs table'!$D$8,EV_DB[[#This Row],[Category]]="Heavy Duty",'Maintenance costs table'!$D$6)</f>
        <v>0.43</v>
      </c>
      <c r="L52" s="42" t="s">
        <v>17</v>
      </c>
      <c r="M52" s="40" t="s">
        <v>493</v>
      </c>
      <c r="N52" s="40">
        <v>0.33</v>
      </c>
      <c r="O52" s="40" t="s">
        <v>494</v>
      </c>
      <c r="P52" s="40"/>
      <c r="Q52" s="41"/>
      <c r="R52" s="41">
        <v>100000</v>
      </c>
      <c r="S52" s="41"/>
      <c r="T52" s="40" cm="1">
        <f t="array" ref="T52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150000</v>
      </c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92">
        <f>MIN(MAX(EV_DB[[#This Row],[Federal Rebates (iMHZEV) ]],EV_DB[[#This Row],[ON Vehicle Rebates]]),PRODUCT(EV_DB[[#This Row],[Cost, $MSRP
CAD]],0.75))</f>
        <v>100000</v>
      </c>
      <c r="AG52" s="90">
        <f>MIN(EV_DB[[#This Row],[Federal Rebates (iMHZEV) ]]+EV_DB[[#This Row],[BC Vehicle Rebates]],PRODUCT(EV_DB[[#This Row],[Cost, $MSRP
CAD]],0.75))</f>
        <v>250000</v>
      </c>
      <c r="AH52" s="90">
        <f>MIN(EV_DB[[#This Row],[Federal Rebates (iMHZEV) ]]+EV_DB[[#This Row],[QC Vehicle Rebates]],PRODUCT(EV_DB[[#This Row],[Cost, $MSRP
CAD]],0.75))</f>
        <v>100000</v>
      </c>
      <c r="AI52" s="90">
        <f>MIN(MAX(EV_DB[[#This Row],[Federal Rebates (iMHZEV) ]],EV_DB[[#This Row],[AB Vehicle Rebates]]),PRODUCT(EV_DB[[#This Row],[Cost, $MSRP
CAD]],0.75))</f>
        <v>100000</v>
      </c>
      <c r="AJ52" s="90">
        <f>MIN(MAX(EV_DB[[#This Row],[Federal Rebates (iMHZEV) ]],EV_DB[[#This Row],[SC Vehicle Rebates]]),PRODUCT(EV_DB[[#This Row],[Cost, $MSRP
CAD]],0.75))</f>
        <v>100000</v>
      </c>
      <c r="AK52" s="90">
        <f>MIN(MAX(EV_DB[[#This Row],[Federal Rebates (iMHZEV) ]],EV_DB[[#This Row],[NS Vehicle Rebates]]),PRODUCT(EV_DB[[#This Row],[Cost, $MSRP
CAD]],0.75))</f>
        <v>100000</v>
      </c>
      <c r="AL52" s="90">
        <f>MIN(MAX(EV_DB[[#This Row],[Federal Rebates (iMHZEV) ]],EV_DB[[#This Row],[NB Vehicle Rebates]]),PRODUCT(EV_DB[[#This Row],[Cost, $MSRP
CAD]],0.75))</f>
        <v>100000</v>
      </c>
      <c r="AM52" s="90">
        <f>MIN(MAX(EV_DB[[#This Row],[Federal Rebates (iMHZEV) ]],EV_DB[[#This Row],[MB Vehicle Rebates]]),PRODUCT(EV_DB[[#This Row],[Cost, $MSRP
CAD]],0.75))</f>
        <v>100000</v>
      </c>
      <c r="AN52" s="90">
        <f>MIN(MAX(EV_DB[[#This Row],[Federal Rebates (iMHZEV) ]],EV_DB[[#This Row],[PEI Vehicle Rebates]]),PRODUCT(EV_DB[[#This Row],[Cost, $MSRP
CAD]],0.75))</f>
        <v>100000</v>
      </c>
      <c r="AO52" s="90">
        <f>MIN(MAX(EV_DB[[#This Row],[Federal Rebates (iMHZEV) ]],EV_DB[[#This Row],[NL Vehicle Rebates]]),PRODUCT(EV_DB[[#This Row],[Cost, $MSRP
CAD]],0.75))</f>
        <v>100000</v>
      </c>
      <c r="AP52" s="90">
        <f>MIN(MAX(EV_DB[[#This Row],[Federal Rebates (iMHZEV) ]]+EV_DB[[#This Row],[YT Vehicle Rebates]]),PRODUCT(EV_DB[[#This Row],[Cost, $MSRP
CAD]],0.75))</f>
        <v>100000</v>
      </c>
      <c r="AQ52" s="90">
        <f>MIN(MAX(EV_DB[[#This Row],[Federal Rebates (iMHZEV) ]],EV_DB[[#This Row],[NU Vehicle Rebates]]),PRODUCT(EV_DB[[#This Row],[Cost, $MSRP
CAD]],0.75))</f>
        <v>100000</v>
      </c>
      <c r="AR52" s="93">
        <f>MIN(MAX(EV_DB[[#This Row],[Federal Rebates (iMHZEV) ]],EV_DB[[#This Row],[NT Vehicle Rebates]]),PRODUCT(EV_DB[[#This Row],[Cost, $MSRP
CAD]],0.75))</f>
        <v>100000</v>
      </c>
    </row>
    <row r="53" spans="1:44" s="1" customFormat="1" ht="30.95">
      <c r="A53" s="40" t="s">
        <v>482</v>
      </c>
      <c r="B53" s="40" t="s">
        <v>495</v>
      </c>
      <c r="C53" s="90" t="str">
        <f>EV_DB[[#This Row],[Manufacturer  ]]&amp; " " &amp;EV_DB[[#This Row],[Model]]</f>
        <v>Battle Motors Electric City Tractor</v>
      </c>
      <c r="D53" s="40" t="s">
        <v>370</v>
      </c>
      <c r="E53" s="40">
        <v>2024</v>
      </c>
      <c r="F53" s="40">
        <v>8</v>
      </c>
      <c r="G53" s="90" t="str" cm="1">
        <f t="array" ref="G53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Heavy Duty</v>
      </c>
      <c r="H53" s="45">
        <v>50000</v>
      </c>
      <c r="I53" s="41">
        <v>45000</v>
      </c>
      <c r="J53" s="71">
        <v>480480</v>
      </c>
      <c r="K53" s="92" cm="1">
        <f t="array" ref="K53">_xlfn.IFS(EV_DB[[#This Row],[Category]]="Light Duty",'Maintenance costs table'!$D$4,EV_DB[[#This Row],[Category]]="Medium Duty",'Maintenance costs table'!$D$8,EV_DB[[#This Row],[Category]]="Heavy Duty",'Maintenance costs table'!$D$6)</f>
        <v>0.43</v>
      </c>
      <c r="L53" s="42" t="s">
        <v>17</v>
      </c>
      <c r="M53" s="40" t="s">
        <v>496</v>
      </c>
      <c r="N53" s="40">
        <v>0.31</v>
      </c>
      <c r="O53" s="40" t="s">
        <v>497</v>
      </c>
      <c r="P53" s="40"/>
      <c r="Q53" s="47">
        <v>195</v>
      </c>
      <c r="R53" s="41" cm="1">
        <f t="array" ref="R53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200000</v>
      </c>
      <c r="S53" s="47"/>
      <c r="T53" s="40" cm="1">
        <f t="array" ref="T53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150000</v>
      </c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92">
        <f>MIN(MAX(EV_DB[[#This Row],[Federal Rebates (iMHZEV) ]],EV_DB[[#This Row],[ON Vehicle Rebates]]),PRODUCT(EV_DB[[#This Row],[Cost, $MSRP
CAD]],0.75))</f>
        <v>200000</v>
      </c>
      <c r="AG53" s="90">
        <f>MIN(EV_DB[[#This Row],[Federal Rebates (iMHZEV) ]]+EV_DB[[#This Row],[BC Vehicle Rebates]],PRODUCT(EV_DB[[#This Row],[Cost, $MSRP
CAD]],0.75))</f>
        <v>350000</v>
      </c>
      <c r="AH53" s="90">
        <f>MIN(EV_DB[[#This Row],[Federal Rebates (iMHZEV) ]]+EV_DB[[#This Row],[QC Vehicle Rebates]],PRODUCT(EV_DB[[#This Row],[Cost, $MSRP
CAD]],0.75))</f>
        <v>200000</v>
      </c>
      <c r="AI53" s="90">
        <f>MIN(MAX(EV_DB[[#This Row],[Federal Rebates (iMHZEV) ]],EV_DB[[#This Row],[AB Vehicle Rebates]]),PRODUCT(EV_DB[[#This Row],[Cost, $MSRP
CAD]],0.75))</f>
        <v>200000</v>
      </c>
      <c r="AJ53" s="90">
        <f>MIN(MAX(EV_DB[[#This Row],[Federal Rebates (iMHZEV) ]],EV_DB[[#This Row],[SC Vehicle Rebates]]),PRODUCT(EV_DB[[#This Row],[Cost, $MSRP
CAD]],0.75))</f>
        <v>200000</v>
      </c>
      <c r="AK53" s="90">
        <f>MIN(MAX(EV_DB[[#This Row],[Federal Rebates (iMHZEV) ]],EV_DB[[#This Row],[NS Vehicle Rebates]]),PRODUCT(EV_DB[[#This Row],[Cost, $MSRP
CAD]],0.75))</f>
        <v>200000</v>
      </c>
      <c r="AL53" s="90">
        <f>MIN(MAX(EV_DB[[#This Row],[Federal Rebates (iMHZEV) ]],EV_DB[[#This Row],[NB Vehicle Rebates]]),PRODUCT(EV_DB[[#This Row],[Cost, $MSRP
CAD]],0.75))</f>
        <v>200000</v>
      </c>
      <c r="AM53" s="90">
        <f>MIN(MAX(EV_DB[[#This Row],[Federal Rebates (iMHZEV) ]],EV_DB[[#This Row],[MB Vehicle Rebates]]),PRODUCT(EV_DB[[#This Row],[Cost, $MSRP
CAD]],0.75))</f>
        <v>200000</v>
      </c>
      <c r="AN53" s="90">
        <f>MIN(MAX(EV_DB[[#This Row],[Federal Rebates (iMHZEV) ]],EV_DB[[#This Row],[PEI Vehicle Rebates]]),PRODUCT(EV_DB[[#This Row],[Cost, $MSRP
CAD]],0.75))</f>
        <v>200000</v>
      </c>
      <c r="AO53" s="90">
        <f>MIN(MAX(EV_DB[[#This Row],[Federal Rebates (iMHZEV) ]],EV_DB[[#This Row],[NL Vehicle Rebates]]),PRODUCT(EV_DB[[#This Row],[Cost, $MSRP
CAD]],0.75))</f>
        <v>200000</v>
      </c>
      <c r="AP53" s="90">
        <f>MIN(MAX(EV_DB[[#This Row],[Federal Rebates (iMHZEV) ]]+EV_DB[[#This Row],[YT Vehicle Rebates]]),PRODUCT(EV_DB[[#This Row],[Cost, $MSRP
CAD]],0.75))</f>
        <v>200000</v>
      </c>
      <c r="AQ53" s="90">
        <f>MIN(MAX(EV_DB[[#This Row],[Federal Rebates (iMHZEV) ]],EV_DB[[#This Row],[NU Vehicle Rebates]]),PRODUCT(EV_DB[[#This Row],[Cost, $MSRP
CAD]],0.75))</f>
        <v>200000</v>
      </c>
      <c r="AR53" s="93">
        <f>MIN(MAX(EV_DB[[#This Row],[Federal Rebates (iMHZEV) ]],EV_DB[[#This Row],[NT Vehicle Rebates]]),PRODUCT(EV_DB[[#This Row],[Cost, $MSRP
CAD]],0.75))</f>
        <v>200000</v>
      </c>
    </row>
    <row r="54" spans="1:44" s="1" customFormat="1" ht="15.6">
      <c r="A54" s="40" t="s">
        <v>498</v>
      </c>
      <c r="B54" s="40" t="s">
        <v>499</v>
      </c>
      <c r="C54" s="90" t="str">
        <f>EV_DB[[#This Row],[Manufacturer  ]]&amp; " " &amp;EV_DB[[#This Row],[Model]]</f>
        <v>MAFI T230-E - 2023</v>
      </c>
      <c r="D54" s="40" t="s">
        <v>500</v>
      </c>
      <c r="E54" s="40">
        <v>2023</v>
      </c>
      <c r="F54" s="40">
        <v>8</v>
      </c>
      <c r="G54" s="90" t="str" cm="1">
        <f t="array" ref="G54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Heavy Duty</v>
      </c>
      <c r="H54" s="40" t="s">
        <v>501</v>
      </c>
      <c r="I54" s="41">
        <v>74957</v>
      </c>
      <c r="J54" s="71">
        <v>526901</v>
      </c>
      <c r="K54" s="92" cm="1">
        <f t="array" ref="K54">_xlfn.IFS(EV_DB[[#This Row],[Category]]="Light Duty",'Maintenance costs table'!$D$4,EV_DB[[#This Row],[Category]]="Medium Duty",'Maintenance costs table'!$D$8,EV_DB[[#This Row],[Category]]="Heavy Duty",'Maintenance costs table'!$D$6)</f>
        <v>0.43</v>
      </c>
      <c r="L54" s="42" t="s">
        <v>17</v>
      </c>
      <c r="M54" s="40" t="s">
        <v>502</v>
      </c>
      <c r="N54" s="40">
        <v>0.3</v>
      </c>
      <c r="O54" s="40" t="s">
        <v>503</v>
      </c>
      <c r="P54" s="40">
        <v>600</v>
      </c>
      <c r="Q54" s="41"/>
      <c r="R54" s="41" cm="1">
        <f t="array" ref="R54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200000</v>
      </c>
      <c r="S54" s="41"/>
      <c r="T54" s="40" cm="1">
        <f t="array" ref="T54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150000</v>
      </c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92">
        <f>MIN(MAX(EV_DB[[#This Row],[Federal Rebates (iMHZEV) ]],EV_DB[[#This Row],[ON Vehicle Rebates]]),PRODUCT(EV_DB[[#This Row],[Cost, $MSRP
CAD]],0.75))</f>
        <v>200000</v>
      </c>
      <c r="AG54" s="90">
        <f>MIN(EV_DB[[#This Row],[Federal Rebates (iMHZEV) ]]+EV_DB[[#This Row],[BC Vehicle Rebates]],PRODUCT(EV_DB[[#This Row],[Cost, $MSRP
CAD]],0.75))</f>
        <v>350000</v>
      </c>
      <c r="AH54" s="90">
        <f>MIN(EV_DB[[#This Row],[Federal Rebates (iMHZEV) ]]+EV_DB[[#This Row],[QC Vehicle Rebates]],PRODUCT(EV_DB[[#This Row],[Cost, $MSRP
CAD]],0.75))</f>
        <v>200000</v>
      </c>
      <c r="AI54" s="90">
        <f>MIN(MAX(EV_DB[[#This Row],[Federal Rebates (iMHZEV) ]],EV_DB[[#This Row],[AB Vehicle Rebates]]),PRODUCT(EV_DB[[#This Row],[Cost, $MSRP
CAD]],0.75))</f>
        <v>200000</v>
      </c>
      <c r="AJ54" s="90">
        <f>MIN(MAX(EV_DB[[#This Row],[Federal Rebates (iMHZEV) ]],EV_DB[[#This Row],[SC Vehicle Rebates]]),PRODUCT(EV_DB[[#This Row],[Cost, $MSRP
CAD]],0.75))</f>
        <v>200000</v>
      </c>
      <c r="AK54" s="90">
        <f>MIN(MAX(EV_DB[[#This Row],[Federal Rebates (iMHZEV) ]],EV_DB[[#This Row],[NS Vehicle Rebates]]),PRODUCT(EV_DB[[#This Row],[Cost, $MSRP
CAD]],0.75))</f>
        <v>200000</v>
      </c>
      <c r="AL54" s="90">
        <f>MIN(MAX(EV_DB[[#This Row],[Federal Rebates (iMHZEV) ]],EV_DB[[#This Row],[NB Vehicle Rebates]]),PRODUCT(EV_DB[[#This Row],[Cost, $MSRP
CAD]],0.75))</f>
        <v>200000</v>
      </c>
      <c r="AM54" s="90">
        <f>MIN(MAX(EV_DB[[#This Row],[Federal Rebates (iMHZEV) ]],EV_DB[[#This Row],[MB Vehicle Rebates]]),PRODUCT(EV_DB[[#This Row],[Cost, $MSRP
CAD]],0.75))</f>
        <v>200000</v>
      </c>
      <c r="AN54" s="90">
        <f>MIN(MAX(EV_DB[[#This Row],[Federal Rebates (iMHZEV) ]],EV_DB[[#This Row],[PEI Vehicle Rebates]]),PRODUCT(EV_DB[[#This Row],[Cost, $MSRP
CAD]],0.75))</f>
        <v>200000</v>
      </c>
      <c r="AO54" s="90">
        <f>MIN(MAX(EV_DB[[#This Row],[Federal Rebates (iMHZEV) ]],EV_DB[[#This Row],[NL Vehicle Rebates]]),PRODUCT(EV_DB[[#This Row],[Cost, $MSRP
CAD]],0.75))</f>
        <v>200000</v>
      </c>
      <c r="AP54" s="90">
        <f>MIN(MAX(EV_DB[[#This Row],[Federal Rebates (iMHZEV) ]]+EV_DB[[#This Row],[YT Vehicle Rebates]]),PRODUCT(EV_DB[[#This Row],[Cost, $MSRP
CAD]],0.75))</f>
        <v>200000</v>
      </c>
      <c r="AQ54" s="90">
        <f>MIN(MAX(EV_DB[[#This Row],[Federal Rebates (iMHZEV) ]],EV_DB[[#This Row],[NU Vehicle Rebates]]),PRODUCT(EV_DB[[#This Row],[Cost, $MSRP
CAD]],0.75))</f>
        <v>200000</v>
      </c>
      <c r="AR54" s="93">
        <f>MIN(MAX(EV_DB[[#This Row],[Federal Rebates (iMHZEV) ]],EV_DB[[#This Row],[NT Vehicle Rebates]]),PRODUCT(EV_DB[[#This Row],[Cost, $MSRP
CAD]],0.75))</f>
        <v>200000</v>
      </c>
    </row>
    <row r="55" spans="1:44" s="1" customFormat="1" ht="30.95">
      <c r="A55" s="40" t="s">
        <v>504</v>
      </c>
      <c r="B55" s="40" t="s">
        <v>505</v>
      </c>
      <c r="C55" s="90" t="str">
        <f>EV_DB[[#This Row],[Manufacturer  ]]&amp; " " &amp;EV_DB[[#This Row],[Model]]</f>
        <v>Volvo  VNRE64300</v>
      </c>
      <c r="D55" s="40" t="s">
        <v>370</v>
      </c>
      <c r="E55" s="40">
        <v>2024</v>
      </c>
      <c r="F55" s="40">
        <v>7</v>
      </c>
      <c r="G55" s="90" t="str" cm="1">
        <f t="array" ref="G55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Heavy Duty</v>
      </c>
      <c r="H55" s="45">
        <v>33200</v>
      </c>
      <c r="I55" s="41">
        <v>15200</v>
      </c>
      <c r="J55" s="71">
        <v>604163</v>
      </c>
      <c r="K55" s="92" cm="1">
        <f t="array" ref="K55">_xlfn.IFS(EV_DB[[#This Row],[Category]]="Light Duty",'Maintenance costs table'!$D$4,EV_DB[[#This Row],[Category]]="Medium Duty",'Maintenance costs table'!$D$8,EV_DB[[#This Row],[Category]]="Heavy Duty",'Maintenance costs table'!$D$6)</f>
        <v>0.43</v>
      </c>
      <c r="L55" s="42" t="s">
        <v>17</v>
      </c>
      <c r="M55" s="40" t="s">
        <v>506</v>
      </c>
      <c r="N55" s="40">
        <v>0.28000000000000003</v>
      </c>
      <c r="O55" s="40" t="s">
        <v>507</v>
      </c>
      <c r="P55" s="40">
        <v>600</v>
      </c>
      <c r="Q55" s="41">
        <v>443</v>
      </c>
      <c r="R55" s="41" cm="1">
        <f t="array" ref="R55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100000</v>
      </c>
      <c r="S55" s="41"/>
      <c r="T55" s="40" cm="1">
        <f t="array" ref="T55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100000</v>
      </c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92">
        <f>MIN(MAX(EV_DB[[#This Row],[Federal Rebates (iMHZEV) ]],EV_DB[[#This Row],[ON Vehicle Rebates]]),PRODUCT(EV_DB[[#This Row],[Cost, $MSRP
CAD]],0.75))</f>
        <v>100000</v>
      </c>
      <c r="AG55" s="90">
        <f>MIN(EV_DB[[#This Row],[Federal Rebates (iMHZEV) ]]+EV_DB[[#This Row],[BC Vehicle Rebates]],PRODUCT(EV_DB[[#This Row],[Cost, $MSRP
CAD]],0.75))</f>
        <v>200000</v>
      </c>
      <c r="AH55" s="90">
        <f>MIN(EV_DB[[#This Row],[Federal Rebates (iMHZEV) ]]+EV_DB[[#This Row],[QC Vehicle Rebates]],PRODUCT(EV_DB[[#This Row],[Cost, $MSRP
CAD]],0.75))</f>
        <v>100000</v>
      </c>
      <c r="AI55" s="90">
        <f>MIN(MAX(EV_DB[[#This Row],[Federal Rebates (iMHZEV) ]],EV_DB[[#This Row],[AB Vehicle Rebates]]),PRODUCT(EV_DB[[#This Row],[Cost, $MSRP
CAD]],0.75))</f>
        <v>100000</v>
      </c>
      <c r="AJ55" s="90">
        <f>MIN(MAX(EV_DB[[#This Row],[Federal Rebates (iMHZEV) ]],EV_DB[[#This Row],[SC Vehicle Rebates]]),PRODUCT(EV_DB[[#This Row],[Cost, $MSRP
CAD]],0.75))</f>
        <v>100000</v>
      </c>
      <c r="AK55" s="90">
        <f>MIN(MAX(EV_DB[[#This Row],[Federal Rebates (iMHZEV) ]],EV_DB[[#This Row],[NS Vehicle Rebates]]),PRODUCT(EV_DB[[#This Row],[Cost, $MSRP
CAD]],0.75))</f>
        <v>100000</v>
      </c>
      <c r="AL55" s="90">
        <f>MIN(MAX(EV_DB[[#This Row],[Federal Rebates (iMHZEV) ]],EV_DB[[#This Row],[NB Vehicle Rebates]]),PRODUCT(EV_DB[[#This Row],[Cost, $MSRP
CAD]],0.75))</f>
        <v>100000</v>
      </c>
      <c r="AM55" s="90">
        <f>MIN(MAX(EV_DB[[#This Row],[Federal Rebates (iMHZEV) ]],EV_DB[[#This Row],[MB Vehicle Rebates]]),PRODUCT(EV_DB[[#This Row],[Cost, $MSRP
CAD]],0.75))</f>
        <v>100000</v>
      </c>
      <c r="AN55" s="90">
        <f>MIN(MAX(EV_DB[[#This Row],[Federal Rebates (iMHZEV) ]],EV_DB[[#This Row],[PEI Vehicle Rebates]]),PRODUCT(EV_DB[[#This Row],[Cost, $MSRP
CAD]],0.75))</f>
        <v>100000</v>
      </c>
      <c r="AO55" s="90">
        <f>MIN(MAX(EV_DB[[#This Row],[Federal Rebates (iMHZEV) ]],EV_DB[[#This Row],[NL Vehicle Rebates]]),PRODUCT(EV_DB[[#This Row],[Cost, $MSRP
CAD]],0.75))</f>
        <v>100000</v>
      </c>
      <c r="AP55" s="90">
        <f>MIN(MAX(EV_DB[[#This Row],[Federal Rebates (iMHZEV) ]]+EV_DB[[#This Row],[YT Vehicle Rebates]]),PRODUCT(EV_DB[[#This Row],[Cost, $MSRP
CAD]],0.75))</f>
        <v>100000</v>
      </c>
      <c r="AQ55" s="90">
        <f>MIN(MAX(EV_DB[[#This Row],[Federal Rebates (iMHZEV) ]],EV_DB[[#This Row],[NU Vehicle Rebates]]),PRODUCT(EV_DB[[#This Row],[Cost, $MSRP
CAD]],0.75))</f>
        <v>100000</v>
      </c>
      <c r="AR55" s="93">
        <f>MIN(MAX(EV_DB[[#This Row],[Federal Rebates (iMHZEV) ]],EV_DB[[#This Row],[NT Vehicle Rebates]]),PRODUCT(EV_DB[[#This Row],[Cost, $MSRP
CAD]],0.75))</f>
        <v>100000</v>
      </c>
    </row>
    <row r="56" spans="1:44" s="1" customFormat="1" ht="30.95">
      <c r="A56" s="221" t="s">
        <v>504</v>
      </c>
      <c r="B56" s="221" t="s">
        <v>508</v>
      </c>
      <c r="C56" s="221" t="str">
        <f>EV_DB[[#This Row],[Manufacturer  ]]&amp; " " &amp;EV_DB[[#This Row],[Model]]</f>
        <v>Volvo  VNRE64T300 (564)</v>
      </c>
      <c r="D56" s="221" t="s">
        <v>370</v>
      </c>
      <c r="E56" s="221">
        <v>2024</v>
      </c>
      <c r="F56" s="221">
        <v>8</v>
      </c>
      <c r="G56" s="221" t="str" cm="1">
        <f t="array" ref="G56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Heavy Duty</v>
      </c>
      <c r="H56" s="222">
        <v>82000</v>
      </c>
      <c r="I56" s="223">
        <v>47000</v>
      </c>
      <c r="J56" s="224">
        <v>574000</v>
      </c>
      <c r="K56" s="225" cm="1">
        <f t="array" ref="K56">_xlfn.IFS(EV_DB[[#This Row],[Category]]="Light Duty",'Maintenance costs table'!$D$4,EV_DB[[#This Row],[Category]]="Medium Duty",'Maintenance costs table'!$D$8,EV_DB[[#This Row],[Category]]="Heavy Duty",'Maintenance costs table'!$D$6)</f>
        <v>0.43</v>
      </c>
      <c r="L56" s="225" t="s">
        <v>17</v>
      </c>
      <c r="M56" s="221" t="s">
        <v>509</v>
      </c>
      <c r="N56" s="221">
        <v>0.28000000000000003</v>
      </c>
      <c r="O56" s="221" t="s">
        <v>507</v>
      </c>
      <c r="P56" s="221">
        <v>600</v>
      </c>
      <c r="Q56" s="223">
        <v>443</v>
      </c>
      <c r="R56" s="227">
        <v>150000</v>
      </c>
      <c r="S56" s="223"/>
      <c r="T56" s="221" cm="1">
        <f t="array" ref="T56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150000</v>
      </c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92">
        <f>MIN(MAX(EV_DB[[#This Row],[Federal Rebates (iMHZEV) ]],EV_DB[[#This Row],[ON Vehicle Rebates]]),PRODUCT(EV_DB[[#This Row],[Cost, $MSRP
CAD]],0.75))</f>
        <v>150000</v>
      </c>
      <c r="AG56" s="90">
        <f>MIN(EV_DB[[#This Row],[Federal Rebates (iMHZEV) ]]+EV_DB[[#This Row],[BC Vehicle Rebates]],PRODUCT(EV_DB[[#This Row],[Cost, $MSRP
CAD]],0.75))</f>
        <v>300000</v>
      </c>
      <c r="AH56" s="90">
        <f>MIN(EV_DB[[#This Row],[Federal Rebates (iMHZEV) ]]+EV_DB[[#This Row],[QC Vehicle Rebates]],PRODUCT(EV_DB[[#This Row],[Cost, $MSRP
CAD]],0.75))</f>
        <v>150000</v>
      </c>
      <c r="AI56" s="90">
        <f>MIN(MAX(EV_DB[[#This Row],[Federal Rebates (iMHZEV) ]],EV_DB[[#This Row],[AB Vehicle Rebates]]),PRODUCT(EV_DB[[#This Row],[Cost, $MSRP
CAD]],0.75))</f>
        <v>150000</v>
      </c>
      <c r="AJ56" s="90">
        <f>MIN(MAX(EV_DB[[#This Row],[Federal Rebates (iMHZEV) ]],EV_DB[[#This Row],[SC Vehicle Rebates]]),PRODUCT(EV_DB[[#This Row],[Cost, $MSRP
CAD]],0.75))</f>
        <v>150000</v>
      </c>
      <c r="AK56" s="90">
        <f>MIN(MAX(EV_DB[[#This Row],[Federal Rebates (iMHZEV) ]],EV_DB[[#This Row],[NS Vehicle Rebates]]),PRODUCT(EV_DB[[#This Row],[Cost, $MSRP
CAD]],0.75))</f>
        <v>150000</v>
      </c>
      <c r="AL56" s="90">
        <f>MIN(MAX(EV_DB[[#This Row],[Federal Rebates (iMHZEV) ]],EV_DB[[#This Row],[NB Vehicle Rebates]]),PRODUCT(EV_DB[[#This Row],[Cost, $MSRP
CAD]],0.75))</f>
        <v>150000</v>
      </c>
      <c r="AM56" s="90">
        <f>MIN(MAX(EV_DB[[#This Row],[Federal Rebates (iMHZEV) ]],EV_DB[[#This Row],[MB Vehicle Rebates]]),PRODUCT(EV_DB[[#This Row],[Cost, $MSRP
CAD]],0.75))</f>
        <v>150000</v>
      </c>
      <c r="AN56" s="90">
        <f>MIN(MAX(EV_DB[[#This Row],[Federal Rebates (iMHZEV) ]],EV_DB[[#This Row],[PEI Vehicle Rebates]]),PRODUCT(EV_DB[[#This Row],[Cost, $MSRP
CAD]],0.75))</f>
        <v>150000</v>
      </c>
      <c r="AO56" s="90">
        <f>MIN(MAX(EV_DB[[#This Row],[Federal Rebates (iMHZEV) ]],EV_DB[[#This Row],[NL Vehicle Rebates]]),PRODUCT(EV_DB[[#This Row],[Cost, $MSRP
CAD]],0.75))</f>
        <v>150000</v>
      </c>
      <c r="AP56" s="90">
        <f>MIN(MAX(EV_DB[[#This Row],[Federal Rebates (iMHZEV) ]]+EV_DB[[#This Row],[YT Vehicle Rebates]]),PRODUCT(EV_DB[[#This Row],[Cost, $MSRP
CAD]],0.75))</f>
        <v>150000</v>
      </c>
      <c r="AQ56" s="90">
        <f>MIN(MAX(EV_DB[[#This Row],[Federal Rebates (iMHZEV) ]],EV_DB[[#This Row],[NU Vehicle Rebates]]),PRODUCT(EV_DB[[#This Row],[Cost, $MSRP
CAD]],0.75))</f>
        <v>150000</v>
      </c>
      <c r="AR56" s="93">
        <f>MIN(MAX(EV_DB[[#This Row],[Federal Rebates (iMHZEV) ]],EV_DB[[#This Row],[NT Vehicle Rebates]]),PRODUCT(EV_DB[[#This Row],[Cost, $MSRP
CAD]],0.75))</f>
        <v>150000</v>
      </c>
    </row>
    <row r="57" spans="1:44" s="1" customFormat="1" ht="15.6">
      <c r="A57" s="40" t="s">
        <v>510</v>
      </c>
      <c r="B57" s="40" t="s">
        <v>511</v>
      </c>
      <c r="C57" s="90" t="str">
        <f>EV_DB[[#This Row],[Manufacturer  ]]&amp; " " &amp;EV_DB[[#This Row],[Model]]</f>
        <v xml:space="preserve">	Kenworth K370E</v>
      </c>
      <c r="D57" s="40" t="s">
        <v>391</v>
      </c>
      <c r="E57" s="40">
        <v>2024</v>
      </c>
      <c r="F57" s="40">
        <v>7</v>
      </c>
      <c r="G57" s="90" t="str" cm="1">
        <f t="array" ref="G57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Heavy Duty</v>
      </c>
      <c r="H57" s="45">
        <v>32981</v>
      </c>
      <c r="I57" s="41">
        <v>20000</v>
      </c>
      <c r="J57" s="71">
        <v>315088</v>
      </c>
      <c r="K57" s="92" cm="1">
        <f t="array" ref="K57">_xlfn.IFS(EV_DB[[#This Row],[Category]]="Light Duty",'Maintenance costs table'!$D$4,EV_DB[[#This Row],[Category]]="Medium Duty",'Maintenance costs table'!$D$8,EV_DB[[#This Row],[Category]]="Heavy Duty",'Maintenance costs table'!$D$6)</f>
        <v>0.43</v>
      </c>
      <c r="L57" s="42" t="s">
        <v>17</v>
      </c>
      <c r="M57" s="40" t="s">
        <v>436</v>
      </c>
      <c r="N57" s="40">
        <v>0.28999999999999998</v>
      </c>
      <c r="O57" s="40"/>
      <c r="P57" s="40"/>
      <c r="Q57" s="41">
        <v>322</v>
      </c>
      <c r="R57" s="41" cm="1">
        <f t="array" ref="R57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100000</v>
      </c>
      <c r="S57" s="41"/>
      <c r="T57" s="40" cm="1">
        <f t="array" ref="T57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100000</v>
      </c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92">
        <f>MIN(MAX(EV_DB[[#This Row],[Federal Rebates (iMHZEV) ]],EV_DB[[#This Row],[ON Vehicle Rebates]]),PRODUCT(EV_DB[[#This Row],[Cost, $MSRP
CAD]],0.75))</f>
        <v>100000</v>
      </c>
      <c r="AG57" s="90">
        <f>MIN(EV_DB[[#This Row],[Federal Rebates (iMHZEV) ]]+EV_DB[[#This Row],[BC Vehicle Rebates]],PRODUCT(EV_DB[[#This Row],[Cost, $MSRP
CAD]],0.75))</f>
        <v>200000</v>
      </c>
      <c r="AH57" s="90">
        <f>MIN(EV_DB[[#This Row],[Federal Rebates (iMHZEV) ]]+EV_DB[[#This Row],[QC Vehicle Rebates]],PRODUCT(EV_DB[[#This Row],[Cost, $MSRP
CAD]],0.75))</f>
        <v>100000</v>
      </c>
      <c r="AI57" s="90">
        <f>MIN(MAX(EV_DB[[#This Row],[Federal Rebates (iMHZEV) ]],EV_DB[[#This Row],[AB Vehicle Rebates]]),PRODUCT(EV_DB[[#This Row],[Cost, $MSRP
CAD]],0.75))</f>
        <v>100000</v>
      </c>
      <c r="AJ57" s="90">
        <f>MIN(MAX(EV_DB[[#This Row],[Federal Rebates (iMHZEV) ]],EV_DB[[#This Row],[SC Vehicle Rebates]]),PRODUCT(EV_DB[[#This Row],[Cost, $MSRP
CAD]],0.75))</f>
        <v>100000</v>
      </c>
      <c r="AK57" s="90">
        <f>MIN(MAX(EV_DB[[#This Row],[Federal Rebates (iMHZEV) ]],EV_DB[[#This Row],[NS Vehicle Rebates]]),PRODUCT(EV_DB[[#This Row],[Cost, $MSRP
CAD]],0.75))</f>
        <v>100000</v>
      </c>
      <c r="AL57" s="90">
        <f>MIN(MAX(EV_DB[[#This Row],[Federal Rebates (iMHZEV) ]],EV_DB[[#This Row],[NB Vehicle Rebates]]),PRODUCT(EV_DB[[#This Row],[Cost, $MSRP
CAD]],0.75))</f>
        <v>100000</v>
      </c>
      <c r="AM57" s="90">
        <f>MIN(MAX(EV_DB[[#This Row],[Federal Rebates (iMHZEV) ]],EV_DB[[#This Row],[MB Vehicle Rebates]]),PRODUCT(EV_DB[[#This Row],[Cost, $MSRP
CAD]],0.75))</f>
        <v>100000</v>
      </c>
      <c r="AN57" s="90">
        <f>MIN(MAX(EV_DB[[#This Row],[Federal Rebates (iMHZEV) ]],EV_DB[[#This Row],[PEI Vehicle Rebates]]),PRODUCT(EV_DB[[#This Row],[Cost, $MSRP
CAD]],0.75))</f>
        <v>100000</v>
      </c>
      <c r="AO57" s="90">
        <f>MIN(MAX(EV_DB[[#This Row],[Federal Rebates (iMHZEV) ]],EV_DB[[#This Row],[NL Vehicle Rebates]]),PRODUCT(EV_DB[[#This Row],[Cost, $MSRP
CAD]],0.75))</f>
        <v>100000</v>
      </c>
      <c r="AP57" s="90">
        <f>MIN(MAX(EV_DB[[#This Row],[Federal Rebates (iMHZEV) ]]+EV_DB[[#This Row],[YT Vehicle Rebates]]),PRODUCT(EV_DB[[#This Row],[Cost, $MSRP
CAD]],0.75))</f>
        <v>100000</v>
      </c>
      <c r="AQ57" s="90">
        <f>MIN(MAX(EV_DB[[#This Row],[Federal Rebates (iMHZEV) ]],EV_DB[[#This Row],[NU Vehicle Rebates]]),PRODUCT(EV_DB[[#This Row],[Cost, $MSRP
CAD]],0.75))</f>
        <v>100000</v>
      </c>
      <c r="AR57" s="93">
        <f>MIN(MAX(EV_DB[[#This Row],[Federal Rebates (iMHZEV) ]],EV_DB[[#This Row],[NT Vehicle Rebates]]),PRODUCT(EV_DB[[#This Row],[Cost, $MSRP
CAD]],0.75))</f>
        <v>100000</v>
      </c>
    </row>
    <row r="58" spans="1:44" s="1" customFormat="1" ht="15.6">
      <c r="A58" s="40" t="s">
        <v>512</v>
      </c>
      <c r="B58" s="48" t="s">
        <v>513</v>
      </c>
      <c r="C58" s="91" t="str">
        <f>EV_DB[[#This Row],[Manufacturer  ]]&amp; " " &amp;EV_DB[[#This Row],[Model]]</f>
        <v>ARBOC Equess CHARGE 30' - 35'</v>
      </c>
      <c r="D58" s="40" t="s">
        <v>382</v>
      </c>
      <c r="E58" s="48">
        <v>2024</v>
      </c>
      <c r="F58" s="48">
        <v>7</v>
      </c>
      <c r="G58" s="91" t="str" cm="1">
        <f t="array" ref="G58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Heavy Duty</v>
      </c>
      <c r="H58" s="49">
        <v>33000</v>
      </c>
      <c r="I58" s="41">
        <v>22000</v>
      </c>
      <c r="J58" s="73"/>
      <c r="K58" s="92" cm="1">
        <f t="array" ref="K58">_xlfn.IFS(EV_DB[[#This Row],[Category]]="Light Duty",'Maintenance costs table'!$D$4,EV_DB[[#This Row],[Category]]="Medium Duty",'Maintenance costs table'!$D$8,EV_DB[[#This Row],[Category]]="Heavy Duty",'Maintenance costs table'!$D$6)</f>
        <v>0.43</v>
      </c>
      <c r="L58" s="42" t="s">
        <v>17</v>
      </c>
      <c r="M58" s="48" t="s">
        <v>514</v>
      </c>
      <c r="N58" s="40">
        <v>0.26</v>
      </c>
      <c r="O58" s="40"/>
      <c r="P58" s="40"/>
      <c r="Q58" s="41"/>
      <c r="R58" s="41" cm="1">
        <f t="array" ref="R58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100000</v>
      </c>
      <c r="S58" s="41"/>
      <c r="T58" s="40" cm="1">
        <f t="array" ref="T58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100000</v>
      </c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92">
        <f>MIN(MAX(EV_DB[[#This Row],[Federal Rebates (iMHZEV) ]],EV_DB[[#This Row],[ON Vehicle Rebates]]),PRODUCT(EV_DB[[#This Row],[Cost, $MSRP
CAD]],0.75))</f>
        <v>0.75</v>
      </c>
      <c r="AG58" s="90">
        <f>MIN(EV_DB[[#This Row],[Federal Rebates (iMHZEV) ]]+EV_DB[[#This Row],[BC Vehicle Rebates]],PRODUCT(EV_DB[[#This Row],[Cost, $MSRP
CAD]],0.75))</f>
        <v>0.75</v>
      </c>
      <c r="AH58" s="90">
        <f>MIN(EV_DB[[#This Row],[Federal Rebates (iMHZEV) ]]+EV_DB[[#This Row],[QC Vehicle Rebates]],PRODUCT(EV_DB[[#This Row],[Cost, $MSRP
CAD]],0.75))</f>
        <v>0.75</v>
      </c>
      <c r="AI58" s="90">
        <f>MIN(MAX(EV_DB[[#This Row],[Federal Rebates (iMHZEV) ]],EV_DB[[#This Row],[AB Vehicle Rebates]]),PRODUCT(EV_DB[[#This Row],[Cost, $MSRP
CAD]],0.75))</f>
        <v>0.75</v>
      </c>
      <c r="AJ58" s="90">
        <f>MIN(MAX(EV_DB[[#This Row],[Federal Rebates (iMHZEV) ]],EV_DB[[#This Row],[SC Vehicle Rebates]]),PRODUCT(EV_DB[[#This Row],[Cost, $MSRP
CAD]],0.75))</f>
        <v>0.75</v>
      </c>
      <c r="AK58" s="90">
        <f>MIN(MAX(EV_DB[[#This Row],[Federal Rebates (iMHZEV) ]],EV_DB[[#This Row],[NS Vehicle Rebates]]),PRODUCT(EV_DB[[#This Row],[Cost, $MSRP
CAD]],0.75))</f>
        <v>0.75</v>
      </c>
      <c r="AL58" s="90">
        <f>MIN(MAX(EV_DB[[#This Row],[Federal Rebates (iMHZEV) ]],EV_DB[[#This Row],[NB Vehicle Rebates]]),PRODUCT(EV_DB[[#This Row],[Cost, $MSRP
CAD]],0.75))</f>
        <v>0.75</v>
      </c>
      <c r="AM58" s="90">
        <f>MIN(MAX(EV_DB[[#This Row],[Federal Rebates (iMHZEV) ]],EV_DB[[#This Row],[MB Vehicle Rebates]]),PRODUCT(EV_DB[[#This Row],[Cost, $MSRP
CAD]],0.75))</f>
        <v>0.75</v>
      </c>
      <c r="AN58" s="90">
        <f>MIN(MAX(EV_DB[[#This Row],[Federal Rebates (iMHZEV) ]],EV_DB[[#This Row],[PEI Vehicle Rebates]]),PRODUCT(EV_DB[[#This Row],[Cost, $MSRP
CAD]],0.75))</f>
        <v>0.75</v>
      </c>
      <c r="AO58" s="90">
        <f>MIN(MAX(EV_DB[[#This Row],[Federal Rebates (iMHZEV) ]],EV_DB[[#This Row],[NL Vehicle Rebates]]),PRODUCT(EV_DB[[#This Row],[Cost, $MSRP
CAD]],0.75))</f>
        <v>0.75</v>
      </c>
      <c r="AP58" s="90">
        <f>MIN(MAX(EV_DB[[#This Row],[Federal Rebates (iMHZEV) ]]+EV_DB[[#This Row],[YT Vehicle Rebates]]),PRODUCT(EV_DB[[#This Row],[Cost, $MSRP
CAD]],0.75))</f>
        <v>0.75</v>
      </c>
      <c r="AQ58" s="90">
        <f>MIN(MAX(EV_DB[[#This Row],[Federal Rebates (iMHZEV) ]],EV_DB[[#This Row],[NU Vehicle Rebates]]),PRODUCT(EV_DB[[#This Row],[Cost, $MSRP
CAD]],0.75))</f>
        <v>0.75</v>
      </c>
      <c r="AR58" s="93">
        <f>MIN(MAX(EV_DB[[#This Row],[Federal Rebates (iMHZEV) ]],EV_DB[[#This Row],[NT Vehicle Rebates]]),PRODUCT(EV_DB[[#This Row],[Cost, $MSRP
CAD]],0.75))</f>
        <v>0.75</v>
      </c>
    </row>
    <row r="59" spans="1:44" s="1" customFormat="1" ht="15.6">
      <c r="A59" s="40" t="s">
        <v>389</v>
      </c>
      <c r="B59" s="40" t="s">
        <v>515</v>
      </c>
      <c r="C59" s="90" t="str">
        <f>EV_DB[[#This Row],[Manufacturer  ]]&amp; " " &amp;EV_DB[[#This Row],[Model]]</f>
        <v xml:space="preserve">BYD   8TT </v>
      </c>
      <c r="D59" s="40" t="s">
        <v>516</v>
      </c>
      <c r="E59" s="40">
        <v>2024</v>
      </c>
      <c r="F59" s="40">
        <v>8</v>
      </c>
      <c r="G59" s="90" t="str" cm="1">
        <f t="array" ref="G59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Heavy Duty</v>
      </c>
      <c r="H59" s="40" t="s">
        <v>517</v>
      </c>
      <c r="I59" s="41">
        <v>22000</v>
      </c>
      <c r="J59" s="71">
        <v>463000</v>
      </c>
      <c r="K59" s="92" cm="1">
        <f t="array" ref="K59">_xlfn.IFS(EV_DB[[#This Row],[Category]]="Light Duty",'Maintenance costs table'!$D$4,EV_DB[[#This Row],[Category]]="Medium Duty",'Maintenance costs table'!$D$8,EV_DB[[#This Row],[Category]]="Heavy Duty",'Maintenance costs table'!$D$6)</f>
        <v>0.43</v>
      </c>
      <c r="L59" s="42" t="s">
        <v>17</v>
      </c>
      <c r="M59" s="40" t="s">
        <v>518</v>
      </c>
      <c r="N59" s="40">
        <v>0.32</v>
      </c>
      <c r="O59" s="40"/>
      <c r="P59" s="40"/>
      <c r="Q59" s="41"/>
      <c r="R59" s="41" cm="1">
        <f t="array" ref="R59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200000</v>
      </c>
      <c r="S59" s="41"/>
      <c r="T59" s="40" cm="1">
        <f t="array" ref="T59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150000</v>
      </c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92">
        <f>MIN(MAX(EV_DB[[#This Row],[Federal Rebates (iMHZEV) ]],EV_DB[[#This Row],[ON Vehicle Rebates]]),PRODUCT(EV_DB[[#This Row],[Cost, $MSRP
CAD]],0.75))</f>
        <v>200000</v>
      </c>
      <c r="AG59" s="90">
        <f>MIN(EV_DB[[#This Row],[Federal Rebates (iMHZEV) ]]+EV_DB[[#This Row],[BC Vehicle Rebates]],PRODUCT(EV_DB[[#This Row],[Cost, $MSRP
CAD]],0.75))</f>
        <v>347250</v>
      </c>
      <c r="AH59" s="90">
        <f>MIN(EV_DB[[#This Row],[Federal Rebates (iMHZEV) ]]+EV_DB[[#This Row],[QC Vehicle Rebates]],PRODUCT(EV_DB[[#This Row],[Cost, $MSRP
CAD]],0.75))</f>
        <v>200000</v>
      </c>
      <c r="AI59" s="90">
        <f>MIN(MAX(EV_DB[[#This Row],[Federal Rebates (iMHZEV) ]],EV_DB[[#This Row],[AB Vehicle Rebates]]),PRODUCT(EV_DB[[#This Row],[Cost, $MSRP
CAD]],0.75))</f>
        <v>200000</v>
      </c>
      <c r="AJ59" s="90">
        <f>MIN(MAX(EV_DB[[#This Row],[Federal Rebates (iMHZEV) ]],EV_DB[[#This Row],[SC Vehicle Rebates]]),PRODUCT(EV_DB[[#This Row],[Cost, $MSRP
CAD]],0.75))</f>
        <v>200000</v>
      </c>
      <c r="AK59" s="90">
        <f>MIN(MAX(EV_DB[[#This Row],[Federal Rebates (iMHZEV) ]],EV_DB[[#This Row],[NS Vehicle Rebates]]),PRODUCT(EV_DB[[#This Row],[Cost, $MSRP
CAD]],0.75))</f>
        <v>200000</v>
      </c>
      <c r="AL59" s="90">
        <f>MIN(MAX(EV_DB[[#This Row],[Federal Rebates (iMHZEV) ]],EV_DB[[#This Row],[NB Vehicle Rebates]]),PRODUCT(EV_DB[[#This Row],[Cost, $MSRP
CAD]],0.75))</f>
        <v>200000</v>
      </c>
      <c r="AM59" s="90">
        <f>MIN(MAX(EV_DB[[#This Row],[Federal Rebates (iMHZEV) ]],EV_DB[[#This Row],[MB Vehicle Rebates]]),PRODUCT(EV_DB[[#This Row],[Cost, $MSRP
CAD]],0.75))</f>
        <v>200000</v>
      </c>
      <c r="AN59" s="90">
        <f>MIN(MAX(EV_DB[[#This Row],[Federal Rebates (iMHZEV) ]],EV_DB[[#This Row],[PEI Vehicle Rebates]]),PRODUCT(EV_DB[[#This Row],[Cost, $MSRP
CAD]],0.75))</f>
        <v>200000</v>
      </c>
      <c r="AO59" s="90">
        <f>MIN(MAX(EV_DB[[#This Row],[Federal Rebates (iMHZEV) ]],EV_DB[[#This Row],[NL Vehicle Rebates]]),PRODUCT(EV_DB[[#This Row],[Cost, $MSRP
CAD]],0.75))</f>
        <v>200000</v>
      </c>
      <c r="AP59" s="90">
        <f>MIN(MAX(EV_DB[[#This Row],[Federal Rebates (iMHZEV) ]]+EV_DB[[#This Row],[YT Vehicle Rebates]]),PRODUCT(EV_DB[[#This Row],[Cost, $MSRP
CAD]],0.75))</f>
        <v>200000</v>
      </c>
      <c r="AQ59" s="90">
        <f>MIN(MAX(EV_DB[[#This Row],[Federal Rebates (iMHZEV) ]],EV_DB[[#This Row],[NU Vehicle Rebates]]),PRODUCT(EV_DB[[#This Row],[Cost, $MSRP
CAD]],0.75))</f>
        <v>200000</v>
      </c>
      <c r="AR59" s="93">
        <f>MIN(MAX(EV_DB[[#This Row],[Federal Rebates (iMHZEV) ]],EV_DB[[#This Row],[NT Vehicle Rebates]]),PRODUCT(EV_DB[[#This Row],[Cost, $MSRP
CAD]],0.75))</f>
        <v>200000</v>
      </c>
    </row>
    <row r="60" spans="1:44" s="1" customFormat="1" ht="15.6">
      <c r="A60" s="40" t="s">
        <v>389</v>
      </c>
      <c r="B60" s="40" t="s">
        <v>519</v>
      </c>
      <c r="C60" s="90" t="str">
        <f>EV_DB[[#This Row],[Manufacturer  ]]&amp; " " &amp;EV_DB[[#This Row],[Model]]</f>
        <v>BYD  8Y</v>
      </c>
      <c r="D60" s="40" t="s">
        <v>520</v>
      </c>
      <c r="E60" s="40">
        <v>2024</v>
      </c>
      <c r="F60" s="40">
        <v>8</v>
      </c>
      <c r="G60" s="90" t="str" cm="1">
        <f t="array" ref="G60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Heavy Duty</v>
      </c>
      <c r="H60" s="40" t="s">
        <v>521</v>
      </c>
      <c r="I60" s="41">
        <v>22000</v>
      </c>
      <c r="J60" s="71">
        <v>334000</v>
      </c>
      <c r="K60" s="92" cm="1">
        <f t="array" ref="K60">_xlfn.IFS(EV_DB[[#This Row],[Category]]="Light Duty",'Maintenance costs table'!$D$4,EV_DB[[#This Row],[Category]]="Medium Duty",'Maintenance costs table'!$D$8,EV_DB[[#This Row],[Category]]="Heavy Duty",'Maintenance costs table'!$D$6)</f>
        <v>0.43</v>
      </c>
      <c r="L60" s="42" t="s">
        <v>17</v>
      </c>
      <c r="M60" s="40" t="s">
        <v>522</v>
      </c>
      <c r="N60" s="40">
        <v>0.31</v>
      </c>
      <c r="O60" s="40"/>
      <c r="P60" s="40"/>
      <c r="Q60" s="41"/>
      <c r="R60" s="41" cm="1">
        <f t="array" ref="R60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200000</v>
      </c>
      <c r="S60" s="41"/>
      <c r="T60" s="40" cm="1">
        <f t="array" ref="T60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150000</v>
      </c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92">
        <f>MIN(MAX(EV_DB[[#This Row],[Federal Rebates (iMHZEV) ]],EV_DB[[#This Row],[ON Vehicle Rebates]]),PRODUCT(EV_DB[[#This Row],[Cost, $MSRP
CAD]],0.75))</f>
        <v>200000</v>
      </c>
      <c r="AG60" s="90">
        <f>MIN(EV_DB[[#This Row],[Federal Rebates (iMHZEV) ]]+EV_DB[[#This Row],[BC Vehicle Rebates]],PRODUCT(EV_DB[[#This Row],[Cost, $MSRP
CAD]],0.75))</f>
        <v>250500</v>
      </c>
      <c r="AH60" s="90">
        <f>MIN(EV_DB[[#This Row],[Federal Rebates (iMHZEV) ]]+EV_DB[[#This Row],[QC Vehicle Rebates]],PRODUCT(EV_DB[[#This Row],[Cost, $MSRP
CAD]],0.75))</f>
        <v>200000</v>
      </c>
      <c r="AI60" s="90">
        <f>MIN(MAX(EV_DB[[#This Row],[Federal Rebates (iMHZEV) ]],EV_DB[[#This Row],[AB Vehicle Rebates]]),PRODUCT(EV_DB[[#This Row],[Cost, $MSRP
CAD]],0.75))</f>
        <v>200000</v>
      </c>
      <c r="AJ60" s="90">
        <f>MIN(MAX(EV_DB[[#This Row],[Federal Rebates (iMHZEV) ]],EV_DB[[#This Row],[SC Vehicle Rebates]]),PRODUCT(EV_DB[[#This Row],[Cost, $MSRP
CAD]],0.75))</f>
        <v>200000</v>
      </c>
      <c r="AK60" s="90">
        <f>MIN(MAX(EV_DB[[#This Row],[Federal Rebates (iMHZEV) ]],EV_DB[[#This Row],[NS Vehicle Rebates]]),PRODUCT(EV_DB[[#This Row],[Cost, $MSRP
CAD]],0.75))</f>
        <v>200000</v>
      </c>
      <c r="AL60" s="90">
        <f>MIN(MAX(EV_DB[[#This Row],[Federal Rebates (iMHZEV) ]],EV_DB[[#This Row],[NB Vehicle Rebates]]),PRODUCT(EV_DB[[#This Row],[Cost, $MSRP
CAD]],0.75))</f>
        <v>200000</v>
      </c>
      <c r="AM60" s="90">
        <f>MIN(MAX(EV_DB[[#This Row],[Federal Rebates (iMHZEV) ]],EV_DB[[#This Row],[MB Vehicle Rebates]]),PRODUCT(EV_DB[[#This Row],[Cost, $MSRP
CAD]],0.75))</f>
        <v>200000</v>
      </c>
      <c r="AN60" s="90">
        <f>MIN(MAX(EV_DB[[#This Row],[Federal Rebates (iMHZEV) ]],EV_DB[[#This Row],[PEI Vehicle Rebates]]),PRODUCT(EV_DB[[#This Row],[Cost, $MSRP
CAD]],0.75))</f>
        <v>200000</v>
      </c>
      <c r="AO60" s="90">
        <f>MIN(MAX(EV_DB[[#This Row],[Federal Rebates (iMHZEV) ]],EV_DB[[#This Row],[NL Vehicle Rebates]]),PRODUCT(EV_DB[[#This Row],[Cost, $MSRP
CAD]],0.75))</f>
        <v>200000</v>
      </c>
      <c r="AP60" s="90">
        <f>MIN(MAX(EV_DB[[#This Row],[Federal Rebates (iMHZEV) ]]+EV_DB[[#This Row],[YT Vehicle Rebates]]),PRODUCT(EV_DB[[#This Row],[Cost, $MSRP
CAD]],0.75))</f>
        <v>200000</v>
      </c>
      <c r="AQ60" s="90">
        <f>MIN(MAX(EV_DB[[#This Row],[Federal Rebates (iMHZEV) ]],EV_DB[[#This Row],[NU Vehicle Rebates]]),PRODUCT(EV_DB[[#This Row],[Cost, $MSRP
CAD]],0.75))</f>
        <v>200000</v>
      </c>
      <c r="AR60" s="93">
        <f>MIN(MAX(EV_DB[[#This Row],[Federal Rebates (iMHZEV) ]],EV_DB[[#This Row],[NT Vehicle Rebates]]),PRODUCT(EV_DB[[#This Row],[Cost, $MSRP
CAD]],0.75))</f>
        <v>200000</v>
      </c>
    </row>
    <row r="61" spans="1:44" s="1" customFormat="1" ht="15.6">
      <c r="A61" s="40" t="s">
        <v>410</v>
      </c>
      <c r="B61" s="40" t="s">
        <v>523</v>
      </c>
      <c r="C61" s="90" t="str">
        <f>EV_DB[[#This Row],[Manufacturer  ]]&amp; " " &amp;EV_DB[[#This Row],[Model]]</f>
        <v>Lion 8P</v>
      </c>
      <c r="D61" s="40" t="s">
        <v>524</v>
      </c>
      <c r="E61" s="40">
        <v>2024</v>
      </c>
      <c r="F61" s="40">
        <v>8</v>
      </c>
      <c r="G61" s="90" t="str" cm="1">
        <f t="array" ref="G61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Heavy Duty</v>
      </c>
      <c r="H61" s="40" t="s">
        <v>525</v>
      </c>
      <c r="I61" s="41"/>
      <c r="J61" s="71">
        <v>431560</v>
      </c>
      <c r="K61" s="92" cm="1">
        <f t="array" ref="K61">_xlfn.IFS(EV_DB[[#This Row],[Category]]="Light Duty",'Maintenance costs table'!$D$4,EV_DB[[#This Row],[Category]]="Medium Duty",'Maintenance costs table'!$D$8,EV_DB[[#This Row],[Category]]="Heavy Duty",'Maintenance costs table'!$D$6)</f>
        <v>0.43</v>
      </c>
      <c r="L61" s="42" t="s">
        <v>17</v>
      </c>
      <c r="M61" s="40" t="s">
        <v>526</v>
      </c>
      <c r="N61" s="40">
        <v>0.3</v>
      </c>
      <c r="O61" s="40"/>
      <c r="P61" s="40"/>
      <c r="Q61" s="41">
        <v>273</v>
      </c>
      <c r="R61" s="41" cm="1">
        <f t="array" ref="R61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200000</v>
      </c>
      <c r="S61" s="41"/>
      <c r="T61" s="40" cm="1">
        <f t="array" ref="T61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150000</v>
      </c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92">
        <f>MIN(MAX(EV_DB[[#This Row],[Federal Rebates (iMHZEV) ]],EV_DB[[#This Row],[ON Vehicle Rebates]]),PRODUCT(EV_DB[[#This Row],[Cost, $MSRP
CAD]],0.75))</f>
        <v>200000</v>
      </c>
      <c r="AG61" s="90">
        <f>MIN(EV_DB[[#This Row],[Federal Rebates (iMHZEV) ]]+EV_DB[[#This Row],[BC Vehicle Rebates]],PRODUCT(EV_DB[[#This Row],[Cost, $MSRP
CAD]],0.75))</f>
        <v>323670</v>
      </c>
      <c r="AH61" s="90">
        <f>MIN(EV_DB[[#This Row],[Federal Rebates (iMHZEV) ]]+EV_DB[[#This Row],[QC Vehicle Rebates]],PRODUCT(EV_DB[[#This Row],[Cost, $MSRP
CAD]],0.75))</f>
        <v>200000</v>
      </c>
      <c r="AI61" s="90">
        <f>MIN(MAX(EV_DB[[#This Row],[Federal Rebates (iMHZEV) ]],EV_DB[[#This Row],[AB Vehicle Rebates]]),PRODUCT(EV_DB[[#This Row],[Cost, $MSRP
CAD]],0.75))</f>
        <v>200000</v>
      </c>
      <c r="AJ61" s="90">
        <f>MIN(MAX(EV_DB[[#This Row],[Federal Rebates (iMHZEV) ]],EV_DB[[#This Row],[SC Vehicle Rebates]]),PRODUCT(EV_DB[[#This Row],[Cost, $MSRP
CAD]],0.75))</f>
        <v>200000</v>
      </c>
      <c r="AK61" s="90">
        <f>MIN(MAX(EV_DB[[#This Row],[Federal Rebates (iMHZEV) ]],EV_DB[[#This Row],[NS Vehicle Rebates]]),PRODUCT(EV_DB[[#This Row],[Cost, $MSRP
CAD]],0.75))</f>
        <v>200000</v>
      </c>
      <c r="AL61" s="90">
        <f>MIN(MAX(EV_DB[[#This Row],[Federal Rebates (iMHZEV) ]],EV_DB[[#This Row],[NB Vehicle Rebates]]),PRODUCT(EV_DB[[#This Row],[Cost, $MSRP
CAD]],0.75))</f>
        <v>200000</v>
      </c>
      <c r="AM61" s="90">
        <f>MIN(MAX(EV_DB[[#This Row],[Federal Rebates (iMHZEV) ]],EV_DB[[#This Row],[MB Vehicle Rebates]]),PRODUCT(EV_DB[[#This Row],[Cost, $MSRP
CAD]],0.75))</f>
        <v>200000</v>
      </c>
      <c r="AN61" s="90">
        <f>MIN(MAX(EV_DB[[#This Row],[Federal Rebates (iMHZEV) ]],EV_DB[[#This Row],[PEI Vehicle Rebates]]),PRODUCT(EV_DB[[#This Row],[Cost, $MSRP
CAD]],0.75))</f>
        <v>200000</v>
      </c>
      <c r="AO61" s="90">
        <f>MIN(MAX(EV_DB[[#This Row],[Federal Rebates (iMHZEV) ]],EV_DB[[#This Row],[NL Vehicle Rebates]]),PRODUCT(EV_DB[[#This Row],[Cost, $MSRP
CAD]],0.75))</f>
        <v>200000</v>
      </c>
      <c r="AP61" s="90">
        <f>MIN(MAX(EV_DB[[#This Row],[Federal Rebates (iMHZEV) ]]+EV_DB[[#This Row],[YT Vehicle Rebates]]),PRODUCT(EV_DB[[#This Row],[Cost, $MSRP
CAD]],0.75))</f>
        <v>200000</v>
      </c>
      <c r="AQ61" s="90">
        <f>MIN(MAX(EV_DB[[#This Row],[Federal Rebates (iMHZEV) ]],EV_DB[[#This Row],[NU Vehicle Rebates]]),PRODUCT(EV_DB[[#This Row],[Cost, $MSRP
CAD]],0.75))</f>
        <v>200000</v>
      </c>
      <c r="AR61" s="93">
        <f>MIN(MAX(EV_DB[[#This Row],[Federal Rebates (iMHZEV) ]],EV_DB[[#This Row],[NT Vehicle Rebates]]),PRODUCT(EV_DB[[#This Row],[Cost, $MSRP
CAD]],0.75))</f>
        <v>200000</v>
      </c>
    </row>
    <row r="62" spans="1:44" s="1" customFormat="1" ht="15.6">
      <c r="A62" s="40" t="s">
        <v>410</v>
      </c>
      <c r="B62" s="40" t="s">
        <v>527</v>
      </c>
      <c r="C62" s="90" t="str">
        <f>EV_DB[[#This Row],[Manufacturer  ]]&amp; " " &amp;EV_DB[[#This Row],[Model]]</f>
        <v>Lion 8T</v>
      </c>
      <c r="D62" s="40" t="s">
        <v>528</v>
      </c>
      <c r="E62" s="40">
        <v>2024</v>
      </c>
      <c r="F62" s="40">
        <v>8</v>
      </c>
      <c r="G62" s="90" t="str" cm="1">
        <f t="array" ref="G62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Heavy Duty</v>
      </c>
      <c r="H62" s="40" t="s">
        <v>529</v>
      </c>
      <c r="I62" s="41"/>
      <c r="J62" s="71">
        <v>400000</v>
      </c>
      <c r="K62" s="92" cm="1">
        <f t="array" ref="K62">_xlfn.IFS(EV_DB[[#This Row],[Category]]="Light Duty",'Maintenance costs table'!$D$4,EV_DB[[#This Row],[Category]]="Medium Duty",'Maintenance costs table'!$D$8,EV_DB[[#This Row],[Category]]="Heavy Duty",'Maintenance costs table'!$D$6)</f>
        <v>0.43</v>
      </c>
      <c r="L62" s="42" t="s">
        <v>17</v>
      </c>
      <c r="M62" s="40" t="s">
        <v>530</v>
      </c>
      <c r="N62" s="40">
        <v>0.31</v>
      </c>
      <c r="O62" s="40"/>
      <c r="P62" s="40"/>
      <c r="Q62" s="41">
        <v>481</v>
      </c>
      <c r="R62" s="41" cm="1">
        <f t="array" ref="R62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200000</v>
      </c>
      <c r="S62" s="41"/>
      <c r="T62" s="40" cm="1">
        <f t="array" ref="T62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150000</v>
      </c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92">
        <f>MIN(MAX(EV_DB[[#This Row],[Federal Rebates (iMHZEV) ]],EV_DB[[#This Row],[ON Vehicle Rebates]]),PRODUCT(EV_DB[[#This Row],[Cost, $MSRP
CAD]],0.75))</f>
        <v>200000</v>
      </c>
      <c r="AG62" s="90">
        <f>MIN(EV_DB[[#This Row],[Federal Rebates (iMHZEV) ]]+EV_DB[[#This Row],[BC Vehicle Rebates]],PRODUCT(EV_DB[[#This Row],[Cost, $MSRP
CAD]],0.75))</f>
        <v>300000</v>
      </c>
      <c r="AH62" s="90">
        <f>MIN(EV_DB[[#This Row],[Federal Rebates (iMHZEV) ]]+EV_DB[[#This Row],[QC Vehicle Rebates]],PRODUCT(EV_DB[[#This Row],[Cost, $MSRP
CAD]],0.75))</f>
        <v>200000</v>
      </c>
      <c r="AI62" s="90">
        <f>MIN(MAX(EV_DB[[#This Row],[Federal Rebates (iMHZEV) ]],EV_DB[[#This Row],[AB Vehicle Rebates]]),PRODUCT(EV_DB[[#This Row],[Cost, $MSRP
CAD]],0.75))</f>
        <v>200000</v>
      </c>
      <c r="AJ62" s="90">
        <f>MIN(MAX(EV_DB[[#This Row],[Federal Rebates (iMHZEV) ]],EV_DB[[#This Row],[SC Vehicle Rebates]]),PRODUCT(EV_DB[[#This Row],[Cost, $MSRP
CAD]],0.75))</f>
        <v>200000</v>
      </c>
      <c r="AK62" s="90">
        <f>MIN(MAX(EV_DB[[#This Row],[Federal Rebates (iMHZEV) ]],EV_DB[[#This Row],[NS Vehicle Rebates]]),PRODUCT(EV_DB[[#This Row],[Cost, $MSRP
CAD]],0.75))</f>
        <v>200000</v>
      </c>
      <c r="AL62" s="90">
        <f>MIN(MAX(EV_DB[[#This Row],[Federal Rebates (iMHZEV) ]],EV_DB[[#This Row],[NB Vehicle Rebates]]),PRODUCT(EV_DB[[#This Row],[Cost, $MSRP
CAD]],0.75))</f>
        <v>200000</v>
      </c>
      <c r="AM62" s="90">
        <f>MIN(MAX(EV_DB[[#This Row],[Federal Rebates (iMHZEV) ]],EV_DB[[#This Row],[MB Vehicle Rebates]]),PRODUCT(EV_DB[[#This Row],[Cost, $MSRP
CAD]],0.75))</f>
        <v>200000</v>
      </c>
      <c r="AN62" s="90">
        <f>MIN(MAX(EV_DB[[#This Row],[Federal Rebates (iMHZEV) ]],EV_DB[[#This Row],[PEI Vehicle Rebates]]),PRODUCT(EV_DB[[#This Row],[Cost, $MSRP
CAD]],0.75))</f>
        <v>200000</v>
      </c>
      <c r="AO62" s="90">
        <f>MIN(MAX(EV_DB[[#This Row],[Federal Rebates (iMHZEV) ]],EV_DB[[#This Row],[NL Vehicle Rebates]]),PRODUCT(EV_DB[[#This Row],[Cost, $MSRP
CAD]],0.75))</f>
        <v>200000</v>
      </c>
      <c r="AP62" s="90">
        <f>MIN(MAX(EV_DB[[#This Row],[Federal Rebates (iMHZEV) ]]+EV_DB[[#This Row],[YT Vehicle Rebates]]),PRODUCT(EV_DB[[#This Row],[Cost, $MSRP
CAD]],0.75))</f>
        <v>200000</v>
      </c>
      <c r="AQ62" s="90">
        <f>MIN(MAX(EV_DB[[#This Row],[Federal Rebates (iMHZEV) ]],EV_DB[[#This Row],[NU Vehicle Rebates]]),PRODUCT(EV_DB[[#This Row],[Cost, $MSRP
CAD]],0.75))</f>
        <v>200000</v>
      </c>
      <c r="AR62" s="93">
        <f>MIN(MAX(EV_DB[[#This Row],[Federal Rebates (iMHZEV) ]],EV_DB[[#This Row],[NT Vehicle Rebates]]),PRODUCT(EV_DB[[#This Row],[Cost, $MSRP
CAD]],0.75))</f>
        <v>200000</v>
      </c>
    </row>
    <row r="63" spans="1:44" s="1" customFormat="1" ht="15.6">
      <c r="A63" s="40" t="s">
        <v>447</v>
      </c>
      <c r="B63" s="40" t="s">
        <v>531</v>
      </c>
      <c r="C63" s="90" t="str">
        <f>EV_DB[[#This Row],[Manufacturer  ]]&amp; " " &amp;EV_DB[[#This Row],[Model]]</f>
        <v>Peterbilt  579EV</v>
      </c>
      <c r="D63" s="40" t="s">
        <v>532</v>
      </c>
      <c r="E63" s="40">
        <v>2024</v>
      </c>
      <c r="F63" s="40">
        <v>8</v>
      </c>
      <c r="G63" s="90" t="str" cm="1">
        <f t="array" ref="G63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Heavy Duty</v>
      </c>
      <c r="H63" s="40" t="s">
        <v>533</v>
      </c>
      <c r="I63" s="41"/>
      <c r="J63" s="71">
        <v>834135</v>
      </c>
      <c r="K63" s="92" cm="1">
        <f t="array" ref="K63">_xlfn.IFS(EV_DB[[#This Row],[Category]]="Light Duty",'Maintenance costs table'!$D$4,EV_DB[[#This Row],[Category]]="Medium Duty",'Maintenance costs table'!$D$8,EV_DB[[#This Row],[Category]]="Heavy Duty",'Maintenance costs table'!$D$6)</f>
        <v>0.43</v>
      </c>
      <c r="L63" s="42" t="s">
        <v>17</v>
      </c>
      <c r="M63" s="40" t="s">
        <v>534</v>
      </c>
      <c r="N63" s="40">
        <v>0.28000000000000003</v>
      </c>
      <c r="O63" s="40"/>
      <c r="P63" s="40"/>
      <c r="Q63" s="41"/>
      <c r="R63" s="41" cm="1">
        <f t="array" ref="R63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200000</v>
      </c>
      <c r="S63" s="41"/>
      <c r="T63" s="40" cm="1">
        <f t="array" ref="T63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150000</v>
      </c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92">
        <f>MIN(MAX(EV_DB[[#This Row],[Federal Rebates (iMHZEV) ]],EV_DB[[#This Row],[ON Vehicle Rebates]]),PRODUCT(EV_DB[[#This Row],[Cost, $MSRP
CAD]],0.75))</f>
        <v>200000</v>
      </c>
      <c r="AG63" s="90">
        <f>MIN(EV_DB[[#This Row],[Federal Rebates (iMHZEV) ]]+EV_DB[[#This Row],[BC Vehicle Rebates]],PRODUCT(EV_DB[[#This Row],[Cost, $MSRP
CAD]],0.75))</f>
        <v>350000</v>
      </c>
      <c r="AH63" s="90">
        <f>MIN(EV_DB[[#This Row],[Federal Rebates (iMHZEV) ]]+EV_DB[[#This Row],[QC Vehicle Rebates]],PRODUCT(EV_DB[[#This Row],[Cost, $MSRP
CAD]],0.75))</f>
        <v>200000</v>
      </c>
      <c r="AI63" s="90">
        <f>MIN(MAX(EV_DB[[#This Row],[Federal Rebates (iMHZEV) ]],EV_DB[[#This Row],[AB Vehicle Rebates]]),PRODUCT(EV_DB[[#This Row],[Cost, $MSRP
CAD]],0.75))</f>
        <v>200000</v>
      </c>
      <c r="AJ63" s="90">
        <f>MIN(MAX(EV_DB[[#This Row],[Federal Rebates (iMHZEV) ]],EV_DB[[#This Row],[SC Vehicle Rebates]]),PRODUCT(EV_DB[[#This Row],[Cost, $MSRP
CAD]],0.75))</f>
        <v>200000</v>
      </c>
      <c r="AK63" s="90">
        <f>MIN(MAX(EV_DB[[#This Row],[Federal Rebates (iMHZEV) ]],EV_DB[[#This Row],[NS Vehicle Rebates]]),PRODUCT(EV_DB[[#This Row],[Cost, $MSRP
CAD]],0.75))</f>
        <v>200000</v>
      </c>
      <c r="AL63" s="90">
        <f>MIN(MAX(EV_DB[[#This Row],[Federal Rebates (iMHZEV) ]],EV_DB[[#This Row],[NB Vehicle Rebates]]),PRODUCT(EV_DB[[#This Row],[Cost, $MSRP
CAD]],0.75))</f>
        <v>200000</v>
      </c>
      <c r="AM63" s="90">
        <f>MIN(MAX(EV_DB[[#This Row],[Federal Rebates (iMHZEV) ]],EV_DB[[#This Row],[MB Vehicle Rebates]]),PRODUCT(EV_DB[[#This Row],[Cost, $MSRP
CAD]],0.75))</f>
        <v>200000</v>
      </c>
      <c r="AN63" s="90">
        <f>MIN(MAX(EV_DB[[#This Row],[Federal Rebates (iMHZEV) ]],EV_DB[[#This Row],[PEI Vehicle Rebates]]),PRODUCT(EV_DB[[#This Row],[Cost, $MSRP
CAD]],0.75))</f>
        <v>200000</v>
      </c>
      <c r="AO63" s="90">
        <f>MIN(MAX(EV_DB[[#This Row],[Federal Rebates (iMHZEV) ]],EV_DB[[#This Row],[NL Vehicle Rebates]]),PRODUCT(EV_DB[[#This Row],[Cost, $MSRP
CAD]],0.75))</f>
        <v>200000</v>
      </c>
      <c r="AP63" s="90">
        <f>MIN(MAX(EV_DB[[#This Row],[Federal Rebates (iMHZEV) ]]+EV_DB[[#This Row],[YT Vehicle Rebates]]),PRODUCT(EV_DB[[#This Row],[Cost, $MSRP
CAD]],0.75))</f>
        <v>200000</v>
      </c>
      <c r="AQ63" s="90">
        <f>MIN(MAX(EV_DB[[#This Row],[Federal Rebates (iMHZEV) ]],EV_DB[[#This Row],[NU Vehicle Rebates]]),PRODUCT(EV_DB[[#This Row],[Cost, $MSRP
CAD]],0.75))</f>
        <v>200000</v>
      </c>
      <c r="AR63" s="93">
        <f>MIN(MAX(EV_DB[[#This Row],[Federal Rebates (iMHZEV) ]],EV_DB[[#This Row],[NT Vehicle Rebates]]),PRODUCT(EV_DB[[#This Row],[Cost, $MSRP
CAD]],0.75))</f>
        <v>200000</v>
      </c>
    </row>
    <row r="64" spans="1:44" s="1" customFormat="1" ht="15.6">
      <c r="A64" s="40" t="s">
        <v>447</v>
      </c>
      <c r="B64" s="40" t="s">
        <v>535</v>
      </c>
      <c r="C64" s="90" t="str">
        <f>EV_DB[[#This Row],[Manufacturer  ]]&amp; " " &amp;EV_DB[[#This Row],[Model]]</f>
        <v>Peterbilt 520 EV</v>
      </c>
      <c r="D64" s="40" t="s">
        <v>361</v>
      </c>
      <c r="E64" s="40">
        <v>2024</v>
      </c>
      <c r="F64" s="40">
        <v>8</v>
      </c>
      <c r="G64" s="90" t="str" cm="1">
        <f t="array" ref="G64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Heavy Duty</v>
      </c>
      <c r="H64" s="40"/>
      <c r="I64" s="41"/>
      <c r="J64" s="71">
        <v>900000</v>
      </c>
      <c r="K64" s="92" cm="1">
        <f t="array" ref="K64">_xlfn.IFS(EV_DB[[#This Row],[Category]]="Light Duty",'Maintenance costs table'!$D$4,EV_DB[[#This Row],[Category]]="Medium Duty",'Maintenance costs table'!$D$8,EV_DB[[#This Row],[Category]]="Heavy Duty",'Maintenance costs table'!$D$6)</f>
        <v>0.43</v>
      </c>
      <c r="L64" s="42" t="s">
        <v>17</v>
      </c>
      <c r="M64" s="40" t="s">
        <v>480</v>
      </c>
      <c r="N64" s="40">
        <v>0.28999999999999998</v>
      </c>
      <c r="O64" s="40"/>
      <c r="P64" s="40"/>
      <c r="Q64" s="41"/>
      <c r="R64" s="41" cm="1">
        <f t="array" ref="R64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200000</v>
      </c>
      <c r="S64" s="41"/>
      <c r="T64" s="40" cm="1">
        <f t="array" ref="T64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150000</v>
      </c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92">
        <f>MIN(MAX(EV_DB[[#This Row],[Federal Rebates (iMHZEV) ]],EV_DB[[#This Row],[ON Vehicle Rebates]]),PRODUCT(EV_DB[[#This Row],[Cost, $MSRP
CAD]],0.75))</f>
        <v>200000</v>
      </c>
      <c r="AG64" s="90">
        <f>MIN(EV_DB[[#This Row],[Federal Rebates (iMHZEV) ]]+EV_DB[[#This Row],[BC Vehicle Rebates]],PRODUCT(EV_DB[[#This Row],[Cost, $MSRP
CAD]],0.75))</f>
        <v>350000</v>
      </c>
      <c r="AH64" s="90">
        <f>MIN(EV_DB[[#This Row],[Federal Rebates (iMHZEV) ]]+EV_DB[[#This Row],[QC Vehicle Rebates]],PRODUCT(EV_DB[[#This Row],[Cost, $MSRP
CAD]],0.75))</f>
        <v>200000</v>
      </c>
      <c r="AI64" s="90">
        <f>MIN(MAX(EV_DB[[#This Row],[Federal Rebates (iMHZEV) ]],EV_DB[[#This Row],[AB Vehicle Rebates]]),PRODUCT(EV_DB[[#This Row],[Cost, $MSRP
CAD]],0.75))</f>
        <v>200000</v>
      </c>
      <c r="AJ64" s="90">
        <f>MIN(MAX(EV_DB[[#This Row],[Federal Rebates (iMHZEV) ]],EV_DB[[#This Row],[SC Vehicle Rebates]]),PRODUCT(EV_DB[[#This Row],[Cost, $MSRP
CAD]],0.75))</f>
        <v>200000</v>
      </c>
      <c r="AK64" s="90">
        <f>MIN(MAX(EV_DB[[#This Row],[Federal Rebates (iMHZEV) ]],EV_DB[[#This Row],[NS Vehicle Rebates]]),PRODUCT(EV_DB[[#This Row],[Cost, $MSRP
CAD]],0.75))</f>
        <v>200000</v>
      </c>
      <c r="AL64" s="90">
        <f>MIN(MAX(EV_DB[[#This Row],[Federal Rebates (iMHZEV) ]],EV_DB[[#This Row],[NB Vehicle Rebates]]),PRODUCT(EV_DB[[#This Row],[Cost, $MSRP
CAD]],0.75))</f>
        <v>200000</v>
      </c>
      <c r="AM64" s="90">
        <f>MIN(MAX(EV_DB[[#This Row],[Federal Rebates (iMHZEV) ]],EV_DB[[#This Row],[MB Vehicle Rebates]]),PRODUCT(EV_DB[[#This Row],[Cost, $MSRP
CAD]],0.75))</f>
        <v>200000</v>
      </c>
      <c r="AN64" s="90">
        <f>MIN(MAX(EV_DB[[#This Row],[Federal Rebates (iMHZEV) ]],EV_DB[[#This Row],[PEI Vehicle Rebates]]),PRODUCT(EV_DB[[#This Row],[Cost, $MSRP
CAD]],0.75))</f>
        <v>200000</v>
      </c>
      <c r="AO64" s="90">
        <f>MIN(MAX(EV_DB[[#This Row],[Federal Rebates (iMHZEV) ]],EV_DB[[#This Row],[NL Vehicle Rebates]]),PRODUCT(EV_DB[[#This Row],[Cost, $MSRP
CAD]],0.75))</f>
        <v>200000</v>
      </c>
      <c r="AP64" s="90">
        <f>MIN(MAX(EV_DB[[#This Row],[Federal Rebates (iMHZEV) ]]+EV_DB[[#This Row],[YT Vehicle Rebates]]),PRODUCT(EV_DB[[#This Row],[Cost, $MSRP
CAD]],0.75))</f>
        <v>200000</v>
      </c>
      <c r="AQ64" s="90">
        <f>MIN(MAX(EV_DB[[#This Row],[Federal Rebates (iMHZEV) ]],EV_DB[[#This Row],[NU Vehicle Rebates]]),PRODUCT(EV_DB[[#This Row],[Cost, $MSRP
CAD]],0.75))</f>
        <v>200000</v>
      </c>
      <c r="AR64" s="93">
        <f>MIN(MAX(EV_DB[[#This Row],[Federal Rebates (iMHZEV) ]],EV_DB[[#This Row],[NT Vehicle Rebates]]),PRODUCT(EV_DB[[#This Row],[Cost, $MSRP
CAD]],0.75))</f>
        <v>200000</v>
      </c>
    </row>
    <row r="65" spans="1:44" s="1" customFormat="1" ht="15.6">
      <c r="A65" s="40" t="s">
        <v>536</v>
      </c>
      <c r="B65" s="40" t="s">
        <v>537</v>
      </c>
      <c r="C65" s="90" t="str">
        <f>EV_DB[[#This Row],[Manufacturer  ]]&amp; " " &amp;EV_DB[[#This Row],[Model]]</f>
        <v>International trucks eMV</v>
      </c>
      <c r="D65" s="40" t="s">
        <v>386</v>
      </c>
      <c r="E65" s="40">
        <v>2024</v>
      </c>
      <c r="F65" s="40">
        <v>7</v>
      </c>
      <c r="G65" s="90" t="str" cm="1">
        <f t="array" ref="G65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Heavy Duty</v>
      </c>
      <c r="H65" s="45">
        <v>33000</v>
      </c>
      <c r="I65" s="41"/>
      <c r="J65" s="71">
        <v>354500</v>
      </c>
      <c r="K65" s="92" cm="1">
        <f t="array" ref="K65">_xlfn.IFS(EV_DB[[#This Row],[Category]]="Light Duty",'Maintenance costs table'!$D$4,EV_DB[[#This Row],[Category]]="Medium Duty",'Maintenance costs table'!$D$8,EV_DB[[#This Row],[Category]]="Heavy Duty",'Maintenance costs table'!$D$6)</f>
        <v>0.43</v>
      </c>
      <c r="L65" s="42" t="s">
        <v>17</v>
      </c>
      <c r="M65" s="40" t="s">
        <v>416</v>
      </c>
      <c r="N65" s="40">
        <v>0.32</v>
      </c>
      <c r="O65" s="40"/>
      <c r="P65" s="40"/>
      <c r="Q65" s="41"/>
      <c r="R65" s="41" cm="1">
        <f t="array" ref="R65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100000</v>
      </c>
      <c r="S65" s="41"/>
      <c r="T65" s="40" cm="1">
        <f t="array" ref="T65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100000</v>
      </c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92">
        <f>MIN(MAX(EV_DB[[#This Row],[Federal Rebates (iMHZEV) ]],EV_DB[[#This Row],[ON Vehicle Rebates]]),PRODUCT(EV_DB[[#This Row],[Cost, $MSRP
CAD]],0.75))</f>
        <v>100000</v>
      </c>
      <c r="AG65" s="90">
        <f>MIN(EV_DB[[#This Row],[Federal Rebates (iMHZEV) ]]+EV_DB[[#This Row],[BC Vehicle Rebates]],PRODUCT(EV_DB[[#This Row],[Cost, $MSRP
CAD]],0.75))</f>
        <v>200000</v>
      </c>
      <c r="AH65" s="90">
        <f>MIN(EV_DB[[#This Row],[Federal Rebates (iMHZEV) ]]+EV_DB[[#This Row],[QC Vehicle Rebates]],PRODUCT(EV_DB[[#This Row],[Cost, $MSRP
CAD]],0.75))</f>
        <v>100000</v>
      </c>
      <c r="AI65" s="90">
        <f>MIN(MAX(EV_DB[[#This Row],[Federal Rebates (iMHZEV) ]],EV_DB[[#This Row],[AB Vehicle Rebates]]),PRODUCT(EV_DB[[#This Row],[Cost, $MSRP
CAD]],0.75))</f>
        <v>100000</v>
      </c>
      <c r="AJ65" s="90">
        <f>MIN(MAX(EV_DB[[#This Row],[Federal Rebates (iMHZEV) ]],EV_DB[[#This Row],[SC Vehicle Rebates]]),PRODUCT(EV_DB[[#This Row],[Cost, $MSRP
CAD]],0.75))</f>
        <v>100000</v>
      </c>
      <c r="AK65" s="90">
        <f>MIN(MAX(EV_DB[[#This Row],[Federal Rebates (iMHZEV) ]],EV_DB[[#This Row],[NS Vehicle Rebates]]),PRODUCT(EV_DB[[#This Row],[Cost, $MSRP
CAD]],0.75))</f>
        <v>100000</v>
      </c>
      <c r="AL65" s="90">
        <f>MIN(MAX(EV_DB[[#This Row],[Federal Rebates (iMHZEV) ]],EV_DB[[#This Row],[NB Vehicle Rebates]]),PRODUCT(EV_DB[[#This Row],[Cost, $MSRP
CAD]],0.75))</f>
        <v>100000</v>
      </c>
      <c r="AM65" s="90">
        <f>MIN(MAX(EV_DB[[#This Row],[Federal Rebates (iMHZEV) ]],EV_DB[[#This Row],[MB Vehicle Rebates]]),PRODUCT(EV_DB[[#This Row],[Cost, $MSRP
CAD]],0.75))</f>
        <v>100000</v>
      </c>
      <c r="AN65" s="90">
        <f>MIN(MAX(EV_DB[[#This Row],[Federal Rebates (iMHZEV) ]],EV_DB[[#This Row],[PEI Vehicle Rebates]]),PRODUCT(EV_DB[[#This Row],[Cost, $MSRP
CAD]],0.75))</f>
        <v>100000</v>
      </c>
      <c r="AO65" s="90">
        <f>MIN(MAX(EV_DB[[#This Row],[Federal Rebates (iMHZEV) ]],EV_DB[[#This Row],[NL Vehicle Rebates]]),PRODUCT(EV_DB[[#This Row],[Cost, $MSRP
CAD]],0.75))</f>
        <v>100000</v>
      </c>
      <c r="AP65" s="90">
        <f>MIN(MAX(EV_DB[[#This Row],[Federal Rebates (iMHZEV) ]]+EV_DB[[#This Row],[YT Vehicle Rebates]]),PRODUCT(EV_DB[[#This Row],[Cost, $MSRP
CAD]],0.75))</f>
        <v>100000</v>
      </c>
      <c r="AQ65" s="90">
        <f>MIN(MAX(EV_DB[[#This Row],[Federal Rebates (iMHZEV) ]],EV_DB[[#This Row],[NU Vehicle Rebates]]),PRODUCT(EV_DB[[#This Row],[Cost, $MSRP
CAD]],0.75))</f>
        <v>100000</v>
      </c>
      <c r="AR65" s="93">
        <f>MIN(MAX(EV_DB[[#This Row],[Federal Rebates (iMHZEV) ]],EV_DB[[#This Row],[NT Vehicle Rebates]]),PRODUCT(EV_DB[[#This Row],[Cost, $MSRP
CAD]],0.75))</f>
        <v>100000</v>
      </c>
    </row>
    <row r="66" spans="1:44" s="1" customFormat="1" ht="46.5">
      <c r="A66" s="40" t="s">
        <v>433</v>
      </c>
      <c r="B66" s="40" t="s">
        <v>538</v>
      </c>
      <c r="C66" s="90" t="str">
        <f>EV_DB[[#This Row],[Manufacturer  ]]&amp; " " &amp;EV_DB[[#This Row],[Model]]</f>
        <v>Kenworth T680E</v>
      </c>
      <c r="D66" s="40" t="s">
        <v>516</v>
      </c>
      <c r="E66" s="40">
        <v>2024</v>
      </c>
      <c r="F66" s="40">
        <v>8</v>
      </c>
      <c r="G66" s="90" t="str" cm="1">
        <f t="array" ref="G66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Heavy Duty</v>
      </c>
      <c r="H66" s="40" t="s">
        <v>539</v>
      </c>
      <c r="I66" s="41"/>
      <c r="J66" s="71">
        <v>424158</v>
      </c>
      <c r="K66" s="92" cm="1">
        <f t="array" ref="K66">_xlfn.IFS(EV_DB[[#This Row],[Category]]="Light Duty",'Maintenance costs table'!$D$4,EV_DB[[#This Row],[Category]]="Medium Duty",'Maintenance costs table'!$D$8,EV_DB[[#This Row],[Category]]="Heavy Duty",'Maintenance costs table'!$D$6)</f>
        <v>0.43</v>
      </c>
      <c r="L66" s="42" t="s">
        <v>17</v>
      </c>
      <c r="M66" s="40" t="s">
        <v>480</v>
      </c>
      <c r="N66" s="40">
        <v>0.3</v>
      </c>
      <c r="O66" s="40" t="s">
        <v>540</v>
      </c>
      <c r="P66" s="40"/>
      <c r="Q66" s="41"/>
      <c r="R66" s="41" cm="1">
        <f t="array" ref="R66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200000</v>
      </c>
      <c r="S66" s="41"/>
      <c r="T66" s="40" cm="1">
        <f t="array" ref="T66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150000</v>
      </c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92">
        <f>MIN(MAX(EV_DB[[#This Row],[Federal Rebates (iMHZEV) ]],EV_DB[[#This Row],[ON Vehicle Rebates]]),PRODUCT(EV_DB[[#This Row],[Cost, $MSRP
CAD]],0.75))</f>
        <v>200000</v>
      </c>
      <c r="AG66" s="90">
        <f>MIN(EV_DB[[#This Row],[Federal Rebates (iMHZEV) ]]+EV_DB[[#This Row],[BC Vehicle Rebates]],PRODUCT(EV_DB[[#This Row],[Cost, $MSRP
CAD]],0.75))</f>
        <v>318118.5</v>
      </c>
      <c r="AH66" s="90">
        <f>MIN(EV_DB[[#This Row],[Federal Rebates (iMHZEV) ]]+EV_DB[[#This Row],[QC Vehicle Rebates]],PRODUCT(EV_DB[[#This Row],[Cost, $MSRP
CAD]],0.75))</f>
        <v>200000</v>
      </c>
      <c r="AI66" s="90">
        <f>MIN(MAX(EV_DB[[#This Row],[Federal Rebates (iMHZEV) ]],EV_DB[[#This Row],[AB Vehicle Rebates]]),PRODUCT(EV_DB[[#This Row],[Cost, $MSRP
CAD]],0.75))</f>
        <v>200000</v>
      </c>
      <c r="AJ66" s="90">
        <f>MIN(MAX(EV_DB[[#This Row],[Federal Rebates (iMHZEV) ]],EV_DB[[#This Row],[SC Vehicle Rebates]]),PRODUCT(EV_DB[[#This Row],[Cost, $MSRP
CAD]],0.75))</f>
        <v>200000</v>
      </c>
      <c r="AK66" s="90">
        <f>MIN(MAX(EV_DB[[#This Row],[Federal Rebates (iMHZEV) ]],EV_DB[[#This Row],[NS Vehicle Rebates]]),PRODUCT(EV_DB[[#This Row],[Cost, $MSRP
CAD]],0.75))</f>
        <v>200000</v>
      </c>
      <c r="AL66" s="90">
        <f>MIN(MAX(EV_DB[[#This Row],[Federal Rebates (iMHZEV) ]],EV_DB[[#This Row],[NB Vehicle Rebates]]),PRODUCT(EV_DB[[#This Row],[Cost, $MSRP
CAD]],0.75))</f>
        <v>200000</v>
      </c>
      <c r="AM66" s="90">
        <f>MIN(MAX(EV_DB[[#This Row],[Federal Rebates (iMHZEV) ]],EV_DB[[#This Row],[MB Vehicle Rebates]]),PRODUCT(EV_DB[[#This Row],[Cost, $MSRP
CAD]],0.75))</f>
        <v>200000</v>
      </c>
      <c r="AN66" s="90">
        <f>MIN(MAX(EV_DB[[#This Row],[Federal Rebates (iMHZEV) ]],EV_DB[[#This Row],[PEI Vehicle Rebates]]),PRODUCT(EV_DB[[#This Row],[Cost, $MSRP
CAD]],0.75))</f>
        <v>200000</v>
      </c>
      <c r="AO66" s="90">
        <f>MIN(MAX(EV_DB[[#This Row],[Federal Rebates (iMHZEV) ]],EV_DB[[#This Row],[NL Vehicle Rebates]]),PRODUCT(EV_DB[[#This Row],[Cost, $MSRP
CAD]],0.75))</f>
        <v>200000</v>
      </c>
      <c r="AP66" s="90">
        <f>MIN(MAX(EV_DB[[#This Row],[Federal Rebates (iMHZEV) ]]+EV_DB[[#This Row],[YT Vehicle Rebates]]),PRODUCT(EV_DB[[#This Row],[Cost, $MSRP
CAD]],0.75))</f>
        <v>200000</v>
      </c>
      <c r="AQ66" s="90">
        <f>MIN(MAX(EV_DB[[#This Row],[Federal Rebates (iMHZEV) ]],EV_DB[[#This Row],[NU Vehicle Rebates]]),PRODUCT(EV_DB[[#This Row],[Cost, $MSRP
CAD]],0.75))</f>
        <v>200000</v>
      </c>
      <c r="AR66" s="93">
        <f>MIN(MAX(EV_DB[[#This Row],[Federal Rebates (iMHZEV) ]],EV_DB[[#This Row],[NT Vehicle Rebates]]),PRODUCT(EV_DB[[#This Row],[Cost, $MSRP
CAD]],0.75))</f>
        <v>200000</v>
      </c>
    </row>
    <row r="67" spans="1:44" s="1" customFormat="1" ht="77.45">
      <c r="A67" s="40" t="s">
        <v>541</v>
      </c>
      <c r="B67" s="40" t="s">
        <v>542</v>
      </c>
      <c r="C67" s="90" t="str">
        <f>EV_DB[[#This Row],[Manufacturer  ]]&amp; " " &amp;EV_DB[[#This Row],[Model]]</f>
        <v>Autocar E-ACTT - 2025</v>
      </c>
      <c r="D67" s="40" t="s">
        <v>500</v>
      </c>
      <c r="E67" s="40">
        <v>2025</v>
      </c>
      <c r="F67" s="40">
        <v>8</v>
      </c>
      <c r="G67" s="90" t="str" cm="1">
        <f t="array" ref="G67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Heavy Duty</v>
      </c>
      <c r="H67" s="40" t="s">
        <v>543</v>
      </c>
      <c r="I67" s="41"/>
      <c r="J67" s="71">
        <v>475000</v>
      </c>
      <c r="K67" s="92" cm="1">
        <f t="array" ref="K67">_xlfn.IFS(EV_DB[[#This Row],[Category]]="Light Duty",'Maintenance costs table'!$D$4,EV_DB[[#This Row],[Category]]="Medium Duty",'Maintenance costs table'!$D$8,EV_DB[[#This Row],[Category]]="Heavy Duty",'Maintenance costs table'!$D$6)</f>
        <v>0.43</v>
      </c>
      <c r="L67" s="42" t="s">
        <v>17</v>
      </c>
      <c r="M67" s="40" t="s">
        <v>416</v>
      </c>
      <c r="N67" s="40">
        <v>0.31</v>
      </c>
      <c r="O67" s="40" t="s">
        <v>544</v>
      </c>
      <c r="P67" s="40">
        <v>650</v>
      </c>
      <c r="Q67" s="41"/>
      <c r="R67" s="41" cm="1">
        <f t="array" ref="R67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200000</v>
      </c>
      <c r="S67" s="41"/>
      <c r="T67" s="40" cm="1">
        <f t="array" ref="T67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150000</v>
      </c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92">
        <f>MIN(MAX(EV_DB[[#This Row],[Federal Rebates (iMHZEV) ]],EV_DB[[#This Row],[ON Vehicle Rebates]]),PRODUCT(EV_DB[[#This Row],[Cost, $MSRP
CAD]],0.75))</f>
        <v>200000</v>
      </c>
      <c r="AG67" s="90">
        <f>MIN(EV_DB[[#This Row],[Federal Rebates (iMHZEV) ]]+EV_DB[[#This Row],[BC Vehicle Rebates]],PRODUCT(EV_DB[[#This Row],[Cost, $MSRP
CAD]],0.75))</f>
        <v>350000</v>
      </c>
      <c r="AH67" s="90">
        <f>MIN(EV_DB[[#This Row],[Federal Rebates (iMHZEV) ]]+EV_DB[[#This Row],[QC Vehicle Rebates]],PRODUCT(EV_DB[[#This Row],[Cost, $MSRP
CAD]],0.75))</f>
        <v>200000</v>
      </c>
      <c r="AI67" s="90">
        <f>MIN(MAX(EV_DB[[#This Row],[Federal Rebates (iMHZEV) ]],EV_DB[[#This Row],[AB Vehicle Rebates]]),PRODUCT(EV_DB[[#This Row],[Cost, $MSRP
CAD]],0.75))</f>
        <v>200000</v>
      </c>
      <c r="AJ67" s="90">
        <f>MIN(MAX(EV_DB[[#This Row],[Federal Rebates (iMHZEV) ]],EV_DB[[#This Row],[SC Vehicle Rebates]]),PRODUCT(EV_DB[[#This Row],[Cost, $MSRP
CAD]],0.75))</f>
        <v>200000</v>
      </c>
      <c r="AK67" s="90">
        <f>MIN(MAX(EV_DB[[#This Row],[Federal Rebates (iMHZEV) ]],EV_DB[[#This Row],[NS Vehicle Rebates]]),PRODUCT(EV_DB[[#This Row],[Cost, $MSRP
CAD]],0.75))</f>
        <v>200000</v>
      </c>
      <c r="AL67" s="90">
        <f>MIN(MAX(EV_DB[[#This Row],[Federal Rebates (iMHZEV) ]],EV_DB[[#This Row],[NB Vehicle Rebates]]),PRODUCT(EV_DB[[#This Row],[Cost, $MSRP
CAD]],0.75))</f>
        <v>200000</v>
      </c>
      <c r="AM67" s="90">
        <f>MIN(MAX(EV_DB[[#This Row],[Federal Rebates (iMHZEV) ]],EV_DB[[#This Row],[MB Vehicle Rebates]]),PRODUCT(EV_DB[[#This Row],[Cost, $MSRP
CAD]],0.75))</f>
        <v>200000</v>
      </c>
      <c r="AN67" s="90">
        <f>MIN(MAX(EV_DB[[#This Row],[Federal Rebates (iMHZEV) ]],EV_DB[[#This Row],[PEI Vehicle Rebates]]),PRODUCT(EV_DB[[#This Row],[Cost, $MSRP
CAD]],0.75))</f>
        <v>200000</v>
      </c>
      <c r="AO67" s="90">
        <f>MIN(MAX(EV_DB[[#This Row],[Federal Rebates (iMHZEV) ]],EV_DB[[#This Row],[NL Vehicle Rebates]]),PRODUCT(EV_DB[[#This Row],[Cost, $MSRP
CAD]],0.75))</f>
        <v>200000</v>
      </c>
      <c r="AP67" s="90">
        <f>MIN(MAX(EV_DB[[#This Row],[Federal Rebates (iMHZEV) ]]+EV_DB[[#This Row],[YT Vehicle Rebates]]),PRODUCT(EV_DB[[#This Row],[Cost, $MSRP
CAD]],0.75))</f>
        <v>200000</v>
      </c>
      <c r="AQ67" s="90">
        <f>MIN(MAX(EV_DB[[#This Row],[Federal Rebates (iMHZEV) ]],EV_DB[[#This Row],[NU Vehicle Rebates]]),PRODUCT(EV_DB[[#This Row],[Cost, $MSRP
CAD]],0.75))</f>
        <v>200000</v>
      </c>
      <c r="AR67" s="93">
        <f>MIN(MAX(EV_DB[[#This Row],[Federal Rebates (iMHZEV) ]],EV_DB[[#This Row],[NT Vehicle Rebates]]),PRODUCT(EV_DB[[#This Row],[Cost, $MSRP
CAD]],0.75))</f>
        <v>200000</v>
      </c>
    </row>
    <row r="68" spans="1:44" s="1" customFormat="1" ht="30.95">
      <c r="A68" s="40" t="s">
        <v>545</v>
      </c>
      <c r="B68" s="40" t="s">
        <v>546</v>
      </c>
      <c r="C68" s="90" t="str">
        <f>EV_DB[[#This Row],[Manufacturer  ]]&amp; " " &amp;EV_DB[[#This Row],[Model]]</f>
        <v>Terberg YT203 (4 x 2)</v>
      </c>
      <c r="D68" s="40" t="s">
        <v>520</v>
      </c>
      <c r="E68" s="40">
        <v>2024</v>
      </c>
      <c r="F68" s="40">
        <v>8</v>
      </c>
      <c r="G68" s="90" t="str" cm="1">
        <f t="array" ref="G68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Heavy Duty</v>
      </c>
      <c r="H68" s="40" t="s">
        <v>547</v>
      </c>
      <c r="I68" s="41">
        <v>79366</v>
      </c>
      <c r="J68" s="71"/>
      <c r="K68" s="92" cm="1">
        <f t="array" ref="K68">_xlfn.IFS(EV_DB[[#This Row],[Category]]="Light Duty",'Maintenance costs table'!$D$4,EV_DB[[#This Row],[Category]]="Medium Duty",'Maintenance costs table'!$D$8,EV_DB[[#This Row],[Category]]="Heavy Duty",'Maintenance costs table'!$D$6)</f>
        <v>0.43</v>
      </c>
      <c r="L68" s="42" t="s">
        <v>17</v>
      </c>
      <c r="M68" s="40" t="s">
        <v>548</v>
      </c>
      <c r="N68" s="40">
        <v>0.33</v>
      </c>
      <c r="O68" s="40" t="s">
        <v>549</v>
      </c>
      <c r="P68" s="40">
        <v>666</v>
      </c>
      <c r="Q68" s="41"/>
      <c r="R68" s="41" cm="1">
        <f t="array" ref="R68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200000</v>
      </c>
      <c r="S68" s="41"/>
      <c r="T68" s="40" cm="1">
        <f t="array" ref="T68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150000</v>
      </c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92">
        <f>MIN(MAX(EV_DB[[#This Row],[Federal Rebates (iMHZEV) ]],EV_DB[[#This Row],[ON Vehicle Rebates]]),PRODUCT(EV_DB[[#This Row],[Cost, $MSRP
CAD]],0.75))</f>
        <v>0.75</v>
      </c>
      <c r="AG68" s="90">
        <f>MIN(EV_DB[[#This Row],[Federal Rebates (iMHZEV) ]]+EV_DB[[#This Row],[BC Vehicle Rebates]],PRODUCT(EV_DB[[#This Row],[Cost, $MSRP
CAD]],0.75))</f>
        <v>0.75</v>
      </c>
      <c r="AH68" s="90">
        <f>MIN(EV_DB[[#This Row],[Federal Rebates (iMHZEV) ]]+EV_DB[[#This Row],[QC Vehicle Rebates]],PRODUCT(EV_DB[[#This Row],[Cost, $MSRP
CAD]],0.75))</f>
        <v>0.75</v>
      </c>
      <c r="AI68" s="90">
        <f>MIN(MAX(EV_DB[[#This Row],[Federal Rebates (iMHZEV) ]],EV_DB[[#This Row],[AB Vehicle Rebates]]),PRODUCT(EV_DB[[#This Row],[Cost, $MSRP
CAD]],0.75))</f>
        <v>0.75</v>
      </c>
      <c r="AJ68" s="90">
        <f>MIN(MAX(EV_DB[[#This Row],[Federal Rebates (iMHZEV) ]],EV_DB[[#This Row],[SC Vehicle Rebates]]),PRODUCT(EV_DB[[#This Row],[Cost, $MSRP
CAD]],0.75))</f>
        <v>0.75</v>
      </c>
      <c r="AK68" s="90">
        <f>MIN(MAX(EV_DB[[#This Row],[Federal Rebates (iMHZEV) ]],EV_DB[[#This Row],[NS Vehicle Rebates]]),PRODUCT(EV_DB[[#This Row],[Cost, $MSRP
CAD]],0.75))</f>
        <v>0.75</v>
      </c>
      <c r="AL68" s="90">
        <f>MIN(MAX(EV_DB[[#This Row],[Federal Rebates (iMHZEV) ]],EV_DB[[#This Row],[NB Vehicle Rebates]]),PRODUCT(EV_DB[[#This Row],[Cost, $MSRP
CAD]],0.75))</f>
        <v>0.75</v>
      </c>
      <c r="AM68" s="90">
        <f>MIN(MAX(EV_DB[[#This Row],[Federal Rebates (iMHZEV) ]],EV_DB[[#This Row],[MB Vehicle Rebates]]),PRODUCT(EV_DB[[#This Row],[Cost, $MSRP
CAD]],0.75))</f>
        <v>0.75</v>
      </c>
      <c r="AN68" s="90">
        <f>MIN(MAX(EV_DB[[#This Row],[Federal Rebates (iMHZEV) ]],EV_DB[[#This Row],[PEI Vehicle Rebates]]),PRODUCT(EV_DB[[#This Row],[Cost, $MSRP
CAD]],0.75))</f>
        <v>0.75</v>
      </c>
      <c r="AO68" s="90">
        <f>MIN(MAX(EV_DB[[#This Row],[Federal Rebates (iMHZEV) ]],EV_DB[[#This Row],[NL Vehicle Rebates]]),PRODUCT(EV_DB[[#This Row],[Cost, $MSRP
CAD]],0.75))</f>
        <v>0.75</v>
      </c>
      <c r="AP68" s="90">
        <f>MIN(MAX(EV_DB[[#This Row],[Federal Rebates (iMHZEV) ]]+EV_DB[[#This Row],[YT Vehicle Rebates]]),PRODUCT(EV_DB[[#This Row],[Cost, $MSRP
CAD]],0.75))</f>
        <v>0.75</v>
      </c>
      <c r="AQ68" s="90">
        <f>MIN(MAX(EV_DB[[#This Row],[Federal Rebates (iMHZEV) ]],EV_DB[[#This Row],[NU Vehicle Rebates]]),PRODUCT(EV_DB[[#This Row],[Cost, $MSRP
CAD]],0.75))</f>
        <v>0.75</v>
      </c>
      <c r="AR68" s="93">
        <f>MIN(MAX(EV_DB[[#This Row],[Federal Rebates (iMHZEV) ]],EV_DB[[#This Row],[NT Vehicle Rebates]]),PRODUCT(EV_DB[[#This Row],[Cost, $MSRP
CAD]],0.75))</f>
        <v>0.75</v>
      </c>
    </row>
    <row r="69" spans="1:44" s="2" customFormat="1" ht="15.6">
      <c r="A69" s="40" t="s">
        <v>550</v>
      </c>
      <c r="B69" s="48" t="s">
        <v>551</v>
      </c>
      <c r="C69" s="91" t="str">
        <f>EV_DB[[#This Row],[Manufacturer  ]]&amp; " " &amp;EV_DB[[#This Row],[Model]]</f>
        <v>Nikola TRE Battery Electric Truck</v>
      </c>
      <c r="D69" s="40" t="s">
        <v>391</v>
      </c>
      <c r="E69" s="48">
        <v>2023</v>
      </c>
      <c r="F69" s="40">
        <v>8</v>
      </c>
      <c r="G69" s="90" t="str" cm="1">
        <f t="array" ref="G69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Heavy Duty</v>
      </c>
      <c r="H69" s="49">
        <v>82000</v>
      </c>
      <c r="I69" s="47"/>
      <c r="J69" s="74"/>
      <c r="K69" s="92" cm="1">
        <f t="array" ref="K69">_xlfn.IFS(EV_DB[[#This Row],[Category]]="Light Duty",'Maintenance costs table'!$D$4,EV_DB[[#This Row],[Category]]="Medium Duty",'Maintenance costs table'!$D$8,EV_DB[[#This Row],[Category]]="Heavy Duty",'Maintenance costs table'!$D$6)</f>
        <v>0.43</v>
      </c>
      <c r="L69" s="42" t="s">
        <v>17</v>
      </c>
      <c r="M69" s="48" t="s">
        <v>552</v>
      </c>
      <c r="N69" s="48">
        <v>0.28999999999999998</v>
      </c>
      <c r="O69" s="40"/>
      <c r="P69" s="48">
        <v>800</v>
      </c>
      <c r="Q69" s="47">
        <v>500</v>
      </c>
      <c r="R69" s="41" cm="1">
        <f t="array" ref="R69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200000</v>
      </c>
      <c r="S69" s="47"/>
      <c r="T69" s="40" cm="1">
        <f t="array" ref="T69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150000</v>
      </c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92">
        <f>MIN(MAX(EV_DB[[#This Row],[Federal Rebates (iMHZEV) ]],EV_DB[[#This Row],[ON Vehicle Rebates]]),PRODUCT(EV_DB[[#This Row],[Cost, $MSRP
CAD]],0.75))</f>
        <v>0.75</v>
      </c>
      <c r="AG69" s="90">
        <f>MIN(EV_DB[[#This Row],[Federal Rebates (iMHZEV) ]]+EV_DB[[#This Row],[BC Vehicle Rebates]],PRODUCT(EV_DB[[#This Row],[Cost, $MSRP
CAD]],0.75))</f>
        <v>0.75</v>
      </c>
      <c r="AH69" s="90">
        <f>MIN(EV_DB[[#This Row],[Federal Rebates (iMHZEV) ]]+EV_DB[[#This Row],[QC Vehicle Rebates]],PRODUCT(EV_DB[[#This Row],[Cost, $MSRP
CAD]],0.75))</f>
        <v>0.75</v>
      </c>
      <c r="AI69" s="90">
        <f>MIN(MAX(EV_DB[[#This Row],[Federal Rebates (iMHZEV) ]],EV_DB[[#This Row],[AB Vehicle Rebates]]),PRODUCT(EV_DB[[#This Row],[Cost, $MSRP
CAD]],0.75))</f>
        <v>0.75</v>
      </c>
      <c r="AJ69" s="90">
        <f>MIN(MAX(EV_DB[[#This Row],[Federal Rebates (iMHZEV) ]],EV_DB[[#This Row],[SC Vehicle Rebates]]),PRODUCT(EV_DB[[#This Row],[Cost, $MSRP
CAD]],0.75))</f>
        <v>0.75</v>
      </c>
      <c r="AK69" s="90">
        <f>MIN(MAX(EV_DB[[#This Row],[Federal Rebates (iMHZEV) ]],EV_DB[[#This Row],[NS Vehicle Rebates]]),PRODUCT(EV_DB[[#This Row],[Cost, $MSRP
CAD]],0.75))</f>
        <v>0.75</v>
      </c>
      <c r="AL69" s="90">
        <f>MIN(MAX(EV_DB[[#This Row],[Federal Rebates (iMHZEV) ]],EV_DB[[#This Row],[NB Vehicle Rebates]]),PRODUCT(EV_DB[[#This Row],[Cost, $MSRP
CAD]],0.75))</f>
        <v>0.75</v>
      </c>
      <c r="AM69" s="90">
        <f>MIN(MAX(EV_DB[[#This Row],[Federal Rebates (iMHZEV) ]],EV_DB[[#This Row],[MB Vehicle Rebates]]),PRODUCT(EV_DB[[#This Row],[Cost, $MSRP
CAD]],0.75))</f>
        <v>0.75</v>
      </c>
      <c r="AN69" s="90">
        <f>MIN(MAX(EV_DB[[#This Row],[Federal Rebates (iMHZEV) ]],EV_DB[[#This Row],[PEI Vehicle Rebates]]),PRODUCT(EV_DB[[#This Row],[Cost, $MSRP
CAD]],0.75))</f>
        <v>0.75</v>
      </c>
      <c r="AO69" s="90">
        <f>MIN(MAX(EV_DB[[#This Row],[Federal Rebates (iMHZEV) ]],EV_DB[[#This Row],[NL Vehicle Rebates]]),PRODUCT(EV_DB[[#This Row],[Cost, $MSRP
CAD]],0.75))</f>
        <v>0.75</v>
      </c>
      <c r="AP69" s="90">
        <f>MIN(MAX(EV_DB[[#This Row],[Federal Rebates (iMHZEV) ]]+EV_DB[[#This Row],[YT Vehicle Rebates]]),PRODUCT(EV_DB[[#This Row],[Cost, $MSRP
CAD]],0.75))</f>
        <v>0.75</v>
      </c>
      <c r="AQ69" s="90">
        <f>MIN(MAX(EV_DB[[#This Row],[Federal Rebates (iMHZEV) ]],EV_DB[[#This Row],[NU Vehicle Rebates]]),PRODUCT(EV_DB[[#This Row],[Cost, $MSRP
CAD]],0.75))</f>
        <v>0.75</v>
      </c>
      <c r="AR69" s="93">
        <f>MIN(MAX(EV_DB[[#This Row],[Federal Rebates (iMHZEV) ]],EV_DB[[#This Row],[NT Vehicle Rebates]]),PRODUCT(EV_DB[[#This Row],[Cost, $MSRP
CAD]],0.75))</f>
        <v>0.75</v>
      </c>
    </row>
    <row r="70" spans="1:44" s="1" customFormat="1" ht="30.95">
      <c r="A70" s="40" t="s">
        <v>553</v>
      </c>
      <c r="B70" s="40" t="s">
        <v>554</v>
      </c>
      <c r="C70" s="90" t="str">
        <f>EV_DB[[#This Row],[Manufacturer  ]]&amp; " " &amp;EV_DB[[#This Row],[Model]]</f>
        <v>Green Power Motors EV350</v>
      </c>
      <c r="D70" s="40" t="s">
        <v>382</v>
      </c>
      <c r="E70" s="40">
        <v>2024</v>
      </c>
      <c r="F70" s="40">
        <v>8</v>
      </c>
      <c r="G70" s="90" t="str" cm="1">
        <f t="array" ref="G70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Heavy Duty</v>
      </c>
      <c r="H70" s="50">
        <v>47399</v>
      </c>
      <c r="I70" s="41"/>
      <c r="J70" s="71">
        <v>550000</v>
      </c>
      <c r="K70" s="92" cm="1">
        <f t="array" ref="K70">_xlfn.IFS(EV_DB[[#This Row],[Category]]="Light Duty",'Maintenance costs table'!$D$4,EV_DB[[#This Row],[Category]]="Medium Duty",'Maintenance costs table'!$D$8,EV_DB[[#This Row],[Category]]="Heavy Duty",'Maintenance costs table'!$D$6)</f>
        <v>0.43</v>
      </c>
      <c r="L70" s="42" t="s">
        <v>17</v>
      </c>
      <c r="M70" s="40" t="s">
        <v>484</v>
      </c>
      <c r="N70" s="40">
        <v>0.28999999999999998</v>
      </c>
      <c r="O70" s="40" t="s">
        <v>555</v>
      </c>
      <c r="P70" s="40">
        <v>620</v>
      </c>
      <c r="Q70" s="41">
        <v>341</v>
      </c>
      <c r="R70" s="41" cm="1">
        <f t="array" ref="R70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200000</v>
      </c>
      <c r="S70" s="41"/>
      <c r="T70" s="40" cm="1">
        <f t="array" ref="T70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150000</v>
      </c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92">
        <f>MIN(MAX(EV_DB[[#This Row],[Federal Rebates (iMHZEV) ]],EV_DB[[#This Row],[ON Vehicle Rebates]]),PRODUCT(EV_DB[[#This Row],[Cost, $MSRP
CAD]],0.75))</f>
        <v>200000</v>
      </c>
      <c r="AG70" s="90">
        <f>MIN(EV_DB[[#This Row],[Federal Rebates (iMHZEV) ]]+EV_DB[[#This Row],[BC Vehicle Rebates]],PRODUCT(EV_DB[[#This Row],[Cost, $MSRP
CAD]],0.75))</f>
        <v>350000</v>
      </c>
      <c r="AH70" s="90">
        <f>MIN(EV_DB[[#This Row],[Federal Rebates (iMHZEV) ]]+EV_DB[[#This Row],[QC Vehicle Rebates]],PRODUCT(EV_DB[[#This Row],[Cost, $MSRP
CAD]],0.75))</f>
        <v>200000</v>
      </c>
      <c r="AI70" s="90">
        <f>MIN(MAX(EV_DB[[#This Row],[Federal Rebates (iMHZEV) ]],EV_DB[[#This Row],[AB Vehicle Rebates]]),PRODUCT(EV_DB[[#This Row],[Cost, $MSRP
CAD]],0.75))</f>
        <v>200000</v>
      </c>
      <c r="AJ70" s="90">
        <f>MIN(MAX(EV_DB[[#This Row],[Federal Rebates (iMHZEV) ]],EV_DB[[#This Row],[SC Vehicle Rebates]]),PRODUCT(EV_DB[[#This Row],[Cost, $MSRP
CAD]],0.75))</f>
        <v>200000</v>
      </c>
      <c r="AK70" s="90">
        <f>MIN(MAX(EV_DB[[#This Row],[Federal Rebates (iMHZEV) ]],EV_DB[[#This Row],[NS Vehicle Rebates]]),PRODUCT(EV_DB[[#This Row],[Cost, $MSRP
CAD]],0.75))</f>
        <v>200000</v>
      </c>
      <c r="AL70" s="90">
        <f>MIN(MAX(EV_DB[[#This Row],[Federal Rebates (iMHZEV) ]],EV_DB[[#This Row],[NB Vehicle Rebates]]),PRODUCT(EV_DB[[#This Row],[Cost, $MSRP
CAD]],0.75))</f>
        <v>200000</v>
      </c>
      <c r="AM70" s="90">
        <f>MIN(MAX(EV_DB[[#This Row],[Federal Rebates (iMHZEV) ]],EV_DB[[#This Row],[MB Vehicle Rebates]]),PRODUCT(EV_DB[[#This Row],[Cost, $MSRP
CAD]],0.75))</f>
        <v>200000</v>
      </c>
      <c r="AN70" s="90">
        <f>MIN(MAX(EV_DB[[#This Row],[Federal Rebates (iMHZEV) ]],EV_DB[[#This Row],[PEI Vehicle Rebates]]),PRODUCT(EV_DB[[#This Row],[Cost, $MSRP
CAD]],0.75))</f>
        <v>200000</v>
      </c>
      <c r="AO70" s="90">
        <f>MIN(MAX(EV_DB[[#This Row],[Federal Rebates (iMHZEV) ]],EV_DB[[#This Row],[NL Vehicle Rebates]]),PRODUCT(EV_DB[[#This Row],[Cost, $MSRP
CAD]],0.75))</f>
        <v>200000</v>
      </c>
      <c r="AP70" s="90">
        <f>MIN(MAX(EV_DB[[#This Row],[Federal Rebates (iMHZEV) ]]+EV_DB[[#This Row],[YT Vehicle Rebates]]),PRODUCT(EV_DB[[#This Row],[Cost, $MSRP
CAD]],0.75))</f>
        <v>200000</v>
      </c>
      <c r="AQ70" s="90">
        <f>MIN(MAX(EV_DB[[#This Row],[Federal Rebates (iMHZEV) ]],EV_DB[[#This Row],[NU Vehicle Rebates]]),PRODUCT(EV_DB[[#This Row],[Cost, $MSRP
CAD]],0.75))</f>
        <v>200000</v>
      </c>
      <c r="AR70" s="93">
        <f>MIN(MAX(EV_DB[[#This Row],[Federal Rebates (iMHZEV) ]],EV_DB[[#This Row],[NT Vehicle Rebates]]),PRODUCT(EV_DB[[#This Row],[Cost, $MSRP
CAD]],0.75))</f>
        <v>200000</v>
      </c>
    </row>
    <row r="71" spans="1:44" s="1" customFormat="1" ht="30.95">
      <c r="A71" s="40" t="s">
        <v>457</v>
      </c>
      <c r="B71" s="40" t="s">
        <v>556</v>
      </c>
      <c r="C71" s="90" t="str">
        <f>EV_DB[[#This Row],[Manufacturer  ]]&amp; " " &amp;EV_DB[[#This Row],[Model]]</f>
        <v>Rizon e16M</v>
      </c>
      <c r="D71" s="40" t="s">
        <v>557</v>
      </c>
      <c r="E71" s="40">
        <v>2025</v>
      </c>
      <c r="F71" s="40">
        <v>4</v>
      </c>
      <c r="G71" s="90" t="str" cm="1">
        <f t="array" ref="G71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Medium Duty</v>
      </c>
      <c r="H71" s="40">
        <v>15995</v>
      </c>
      <c r="I71" s="41">
        <v>8600</v>
      </c>
      <c r="J71" s="71">
        <v>280000</v>
      </c>
      <c r="K71" s="92" cm="1">
        <f t="array" ref="K71">_xlfn.IFS(EV_DB[[#This Row],[Category]]="Light Duty",'Maintenance costs table'!$D$4,EV_DB[[#This Row],[Category]]="Medium Duty",'Maintenance costs table'!$D$8,EV_DB[[#This Row],[Category]]="Heavy Duty",'Maintenance costs table'!$D$6)</f>
        <v>0.25</v>
      </c>
      <c r="L71" s="42" t="s">
        <v>354</v>
      </c>
      <c r="M71" s="40">
        <v>82</v>
      </c>
      <c r="N71" s="40">
        <v>0.45</v>
      </c>
      <c r="O71" s="40" t="s">
        <v>558</v>
      </c>
      <c r="P71" s="40"/>
      <c r="Q71" s="41">
        <v>160</v>
      </c>
      <c r="R71" s="41" cm="1">
        <f t="array" ref="R71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75000</v>
      </c>
      <c r="S71" s="41"/>
      <c r="T71" s="40" cm="1">
        <f t="array" ref="T71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75000</v>
      </c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90">
        <f>MIN(MAX(EV_DB[[#This Row],[Federal Rebates (iMHZEV) ]],EV_DB[[#This Row],[ON Vehicle Rebates]]),PRODUCT(EV_DB[[#This Row],[Cost, $MSRP
CAD]],0.75))</f>
        <v>75000</v>
      </c>
      <c r="AG71" s="90">
        <f>MIN(EV_DB[[#This Row],[Federal Rebates (iMHZEV) ]]+EV_DB[[#This Row],[BC Vehicle Rebates]],PRODUCT(EV_DB[[#This Row],[Cost, $MSRP
CAD]],0.75))</f>
        <v>150000</v>
      </c>
      <c r="AH71" s="40">
        <f>MIN(EV_DB[[#This Row],[Federal Rebates (iMHZEV) ]]+EV_DB[[#This Row],[QC Vehicle Rebates]],PRODUCT(EV_DB[[#This Row],[Cost, $MSRP
CAD]],0.75))</f>
        <v>75000</v>
      </c>
      <c r="AI71" s="40">
        <f>MIN(MAX(EV_DB[[#This Row],[Federal Rebates (iMHZEV) ]],EV_DB[[#This Row],[AB Vehicle Rebates]]),PRODUCT(EV_DB[[#This Row],[Cost, $MSRP
CAD]],0.75))</f>
        <v>75000</v>
      </c>
      <c r="AJ71" s="40">
        <f>MIN(MAX(EV_DB[[#This Row],[Federal Rebates (iMHZEV) ]],EV_DB[[#This Row],[SC Vehicle Rebates]]),PRODUCT(EV_DB[[#This Row],[Cost, $MSRP
CAD]],0.75))</f>
        <v>75000</v>
      </c>
      <c r="AK71" s="40">
        <f>MIN(MAX(EV_DB[[#This Row],[Federal Rebates (iMHZEV) ]],EV_DB[[#This Row],[NS Vehicle Rebates]]),PRODUCT(EV_DB[[#This Row],[Cost, $MSRP
CAD]],0.75))</f>
        <v>75000</v>
      </c>
      <c r="AL71" s="40">
        <f>MIN(MAX(EV_DB[[#This Row],[Federal Rebates (iMHZEV) ]],EV_DB[[#This Row],[NB Vehicle Rebates]]),PRODUCT(EV_DB[[#This Row],[Cost, $MSRP
CAD]],0.75))</f>
        <v>75000</v>
      </c>
      <c r="AM71" s="40">
        <f>MIN(MAX(EV_DB[[#This Row],[Federal Rebates (iMHZEV) ]],EV_DB[[#This Row],[MB Vehicle Rebates]]),PRODUCT(EV_DB[[#This Row],[Cost, $MSRP
CAD]],0.75))</f>
        <v>75000</v>
      </c>
      <c r="AN71" s="40">
        <f>MIN(MAX(EV_DB[[#This Row],[Federal Rebates (iMHZEV) ]],EV_DB[[#This Row],[PEI Vehicle Rebates]]),PRODUCT(EV_DB[[#This Row],[Cost, $MSRP
CAD]],0.75))</f>
        <v>75000</v>
      </c>
      <c r="AO71" s="40">
        <f>MIN(MAX(EV_DB[[#This Row],[Federal Rebates (iMHZEV) ]],EV_DB[[#This Row],[NL Vehicle Rebates]]),PRODUCT(EV_DB[[#This Row],[Cost, $MSRP
CAD]],0.75))</f>
        <v>75000</v>
      </c>
      <c r="AP71" s="40">
        <f>MIN(MAX(EV_DB[[#This Row],[Federal Rebates (iMHZEV) ]]+EV_DB[[#This Row],[YT Vehicle Rebates]]),PRODUCT(EV_DB[[#This Row],[Cost, $MSRP
CAD]],0.75))</f>
        <v>75000</v>
      </c>
      <c r="AQ71" s="40">
        <f>MIN(MAX(EV_DB[[#This Row],[Federal Rebates (iMHZEV) ]],EV_DB[[#This Row],[NU Vehicle Rebates]]),PRODUCT(EV_DB[[#This Row],[Cost, $MSRP
CAD]],0.75))</f>
        <v>75000</v>
      </c>
      <c r="AR71" s="194">
        <f>MIN(MAX(EV_DB[[#This Row],[Federal Rebates (iMHZEV) ]],EV_DB[[#This Row],[NT Vehicle Rebates]]),PRODUCT(EV_DB[[#This Row],[Cost, $MSRP
CAD]],0.75))</f>
        <v>75000</v>
      </c>
    </row>
    <row r="72" spans="1:44" s="1" customFormat="1" ht="30.95">
      <c r="A72" s="40" t="s">
        <v>457</v>
      </c>
      <c r="B72" s="40" t="s">
        <v>559</v>
      </c>
      <c r="C72" s="90" t="str">
        <f>EV_DB[[#This Row],[Manufacturer  ]]&amp; " " &amp;EV_DB[[#This Row],[Model]]</f>
        <v>Rizon e16L</v>
      </c>
      <c r="D72" s="40" t="s">
        <v>557</v>
      </c>
      <c r="E72" s="40">
        <v>2025</v>
      </c>
      <c r="F72" s="40">
        <v>4</v>
      </c>
      <c r="G72" s="90" t="str" cm="1">
        <f t="array" ref="G72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Medium Duty</v>
      </c>
      <c r="H72" s="40">
        <v>15995</v>
      </c>
      <c r="I72" s="41">
        <v>7500</v>
      </c>
      <c r="J72" s="71">
        <v>280000</v>
      </c>
      <c r="K72" s="92" cm="1">
        <f t="array" ref="K72">_xlfn.IFS(EV_DB[[#This Row],[Category]]="Light Duty",'Maintenance costs table'!$D$4,EV_DB[[#This Row],[Category]]="Medium Duty",'Maintenance costs table'!$D$8,EV_DB[[#This Row],[Category]]="Heavy Duty",'Maintenance costs table'!$D$6)</f>
        <v>0.25</v>
      </c>
      <c r="L72" s="42" t="s">
        <v>354</v>
      </c>
      <c r="M72" s="40">
        <v>124</v>
      </c>
      <c r="N72" s="40">
        <v>0.45</v>
      </c>
      <c r="O72" s="40" t="s">
        <v>558</v>
      </c>
      <c r="P72" s="40"/>
      <c r="Q72" s="41">
        <v>241</v>
      </c>
      <c r="R72" s="41" cm="1">
        <f t="array" ref="R72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75000</v>
      </c>
      <c r="S72" s="41"/>
      <c r="T72" s="40" cm="1">
        <f t="array" ref="T72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75000</v>
      </c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90">
        <f>MIN(MAX(EV_DB[[#This Row],[Federal Rebates (iMHZEV) ]],EV_DB[[#This Row],[ON Vehicle Rebates]]),PRODUCT(EV_DB[[#This Row],[Cost, $MSRP
CAD]],0.75))</f>
        <v>75000</v>
      </c>
      <c r="AG72" s="90">
        <f>MIN(EV_DB[[#This Row],[Federal Rebates (iMHZEV) ]]+EV_DB[[#This Row],[BC Vehicle Rebates]],PRODUCT(EV_DB[[#This Row],[Cost, $MSRP
CAD]],0.75))</f>
        <v>150000</v>
      </c>
      <c r="AH72" s="40">
        <f>MIN(EV_DB[[#This Row],[Federal Rebates (iMHZEV) ]]+EV_DB[[#This Row],[QC Vehicle Rebates]],PRODUCT(EV_DB[[#This Row],[Cost, $MSRP
CAD]],0.75))</f>
        <v>75000</v>
      </c>
      <c r="AI72" s="40">
        <f>MIN(MAX(EV_DB[[#This Row],[Federal Rebates (iMHZEV) ]],EV_DB[[#This Row],[AB Vehicle Rebates]]),PRODUCT(EV_DB[[#This Row],[Cost, $MSRP
CAD]],0.75))</f>
        <v>75000</v>
      </c>
      <c r="AJ72" s="40">
        <f>MIN(MAX(EV_DB[[#This Row],[Federal Rebates (iMHZEV) ]],EV_DB[[#This Row],[SC Vehicle Rebates]]),PRODUCT(EV_DB[[#This Row],[Cost, $MSRP
CAD]],0.75))</f>
        <v>75000</v>
      </c>
      <c r="AK72" s="40">
        <f>MIN(MAX(EV_DB[[#This Row],[Federal Rebates (iMHZEV) ]],EV_DB[[#This Row],[NS Vehicle Rebates]]),PRODUCT(EV_DB[[#This Row],[Cost, $MSRP
CAD]],0.75))</f>
        <v>75000</v>
      </c>
      <c r="AL72" s="40">
        <f>MIN(MAX(EV_DB[[#This Row],[Federal Rebates (iMHZEV) ]],EV_DB[[#This Row],[NB Vehicle Rebates]]),PRODUCT(EV_DB[[#This Row],[Cost, $MSRP
CAD]],0.75))</f>
        <v>75000</v>
      </c>
      <c r="AM72" s="40">
        <f>MIN(MAX(EV_DB[[#This Row],[Federal Rebates (iMHZEV) ]],EV_DB[[#This Row],[MB Vehicle Rebates]]),PRODUCT(EV_DB[[#This Row],[Cost, $MSRP
CAD]],0.75))</f>
        <v>75000</v>
      </c>
      <c r="AN72" s="40">
        <f>MIN(MAX(EV_DB[[#This Row],[Federal Rebates (iMHZEV) ]],EV_DB[[#This Row],[PEI Vehicle Rebates]]),PRODUCT(EV_DB[[#This Row],[Cost, $MSRP
CAD]],0.75))</f>
        <v>75000</v>
      </c>
      <c r="AO72" s="40">
        <f>MIN(MAX(EV_DB[[#This Row],[Federal Rebates (iMHZEV) ]],EV_DB[[#This Row],[NL Vehicle Rebates]]),PRODUCT(EV_DB[[#This Row],[Cost, $MSRP
CAD]],0.75))</f>
        <v>75000</v>
      </c>
      <c r="AP72" s="40">
        <f>MIN(MAX(EV_DB[[#This Row],[Federal Rebates (iMHZEV) ]]+EV_DB[[#This Row],[YT Vehicle Rebates]]),PRODUCT(EV_DB[[#This Row],[Cost, $MSRP
CAD]],0.75))</f>
        <v>75000</v>
      </c>
      <c r="AQ72" s="40">
        <f>MIN(MAX(EV_DB[[#This Row],[Federal Rebates (iMHZEV) ]],EV_DB[[#This Row],[NU Vehicle Rebates]]),PRODUCT(EV_DB[[#This Row],[Cost, $MSRP
CAD]],0.75))</f>
        <v>75000</v>
      </c>
      <c r="AR72" s="194">
        <f>MIN(MAX(EV_DB[[#This Row],[Federal Rebates (iMHZEV) ]],EV_DB[[#This Row],[NT Vehicle Rebates]]),PRODUCT(EV_DB[[#This Row],[Cost, $MSRP
CAD]],0.75))</f>
        <v>75000</v>
      </c>
    </row>
    <row r="73" spans="1:44" ht="30.95">
      <c r="A73" s="40" t="s">
        <v>457</v>
      </c>
      <c r="B73" s="40" t="s">
        <v>560</v>
      </c>
      <c r="C73" s="90" t="str">
        <f>EV_DB[[#This Row],[Manufacturer  ]]&amp; " " &amp;EV_DB[[#This Row],[Model]]</f>
        <v>Rizon e18M</v>
      </c>
      <c r="D73" s="40" t="s">
        <v>557</v>
      </c>
      <c r="E73" s="40">
        <v>2025</v>
      </c>
      <c r="F73" s="40">
        <v>5</v>
      </c>
      <c r="G73" s="90" t="str" cm="1">
        <f t="array" ref="G73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Medium Duty</v>
      </c>
      <c r="H73" s="40">
        <v>17995</v>
      </c>
      <c r="I73" s="41">
        <v>10500</v>
      </c>
      <c r="J73" s="71">
        <v>256478</v>
      </c>
      <c r="K73" s="92" cm="1">
        <f t="array" ref="K73">_xlfn.IFS(EV_DB[[#This Row],[Category]]="Light Duty",'Maintenance costs table'!$D$4,EV_DB[[#This Row],[Category]]="Medium Duty",'Maintenance costs table'!$D$8,EV_DB[[#This Row],[Category]]="Heavy Duty",'Maintenance costs table'!$D$6)</f>
        <v>0.25</v>
      </c>
      <c r="L73" s="42" t="s">
        <v>354</v>
      </c>
      <c r="M73" s="40">
        <v>82</v>
      </c>
      <c r="N73" s="40">
        <v>0.45</v>
      </c>
      <c r="O73" s="40" t="s">
        <v>558</v>
      </c>
      <c r="P73" s="40"/>
      <c r="Q73" s="41">
        <v>160</v>
      </c>
      <c r="R73" s="41" cm="1">
        <f t="array" ref="R73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75000</v>
      </c>
      <c r="S73" s="41"/>
      <c r="T73" s="40" cm="1">
        <f t="array" ref="T73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75000</v>
      </c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90">
        <f>MIN(MAX(EV_DB[[#This Row],[Federal Rebates (iMHZEV) ]],EV_DB[[#This Row],[ON Vehicle Rebates]]),PRODUCT(EV_DB[[#This Row],[Cost, $MSRP
CAD]],0.75))</f>
        <v>75000</v>
      </c>
      <c r="AG73" s="90">
        <f>MIN(EV_DB[[#This Row],[Federal Rebates (iMHZEV) ]]+EV_DB[[#This Row],[BC Vehicle Rebates]],PRODUCT(EV_DB[[#This Row],[Cost, $MSRP
CAD]],0.75))</f>
        <v>150000</v>
      </c>
      <c r="AH73" s="40">
        <f>MIN(EV_DB[[#This Row],[Federal Rebates (iMHZEV) ]]+EV_DB[[#This Row],[QC Vehicle Rebates]],PRODUCT(EV_DB[[#This Row],[Cost, $MSRP
CAD]],0.75))</f>
        <v>75000</v>
      </c>
      <c r="AI73" s="40">
        <f>MIN(MAX(EV_DB[[#This Row],[Federal Rebates (iMHZEV) ]],EV_DB[[#This Row],[AB Vehicle Rebates]]),PRODUCT(EV_DB[[#This Row],[Cost, $MSRP
CAD]],0.75))</f>
        <v>75000</v>
      </c>
      <c r="AJ73" s="40">
        <f>MIN(MAX(EV_DB[[#This Row],[Federal Rebates (iMHZEV) ]],EV_DB[[#This Row],[SC Vehicle Rebates]]),PRODUCT(EV_DB[[#This Row],[Cost, $MSRP
CAD]],0.75))</f>
        <v>75000</v>
      </c>
      <c r="AK73" s="40">
        <f>MIN(MAX(EV_DB[[#This Row],[Federal Rebates (iMHZEV) ]],EV_DB[[#This Row],[NS Vehicle Rebates]]),PRODUCT(EV_DB[[#This Row],[Cost, $MSRP
CAD]],0.75))</f>
        <v>75000</v>
      </c>
      <c r="AL73" s="40">
        <f>MIN(MAX(EV_DB[[#This Row],[Federal Rebates (iMHZEV) ]],EV_DB[[#This Row],[NB Vehicle Rebates]]),PRODUCT(EV_DB[[#This Row],[Cost, $MSRP
CAD]],0.75))</f>
        <v>75000</v>
      </c>
      <c r="AM73" s="40">
        <f>MIN(MAX(EV_DB[[#This Row],[Federal Rebates (iMHZEV) ]],EV_DB[[#This Row],[MB Vehicle Rebates]]),PRODUCT(EV_DB[[#This Row],[Cost, $MSRP
CAD]],0.75))</f>
        <v>75000</v>
      </c>
      <c r="AN73" s="40">
        <f>MIN(MAX(EV_DB[[#This Row],[Federal Rebates (iMHZEV) ]],EV_DB[[#This Row],[PEI Vehicle Rebates]]),PRODUCT(EV_DB[[#This Row],[Cost, $MSRP
CAD]],0.75))</f>
        <v>75000</v>
      </c>
      <c r="AO73" s="40">
        <f>MIN(MAX(EV_DB[[#This Row],[Federal Rebates (iMHZEV) ]],EV_DB[[#This Row],[NL Vehicle Rebates]]),PRODUCT(EV_DB[[#This Row],[Cost, $MSRP
CAD]],0.75))</f>
        <v>75000</v>
      </c>
      <c r="AP73" s="40">
        <f>MIN(MAX(EV_DB[[#This Row],[Federal Rebates (iMHZEV) ]]+EV_DB[[#This Row],[YT Vehicle Rebates]]),PRODUCT(EV_DB[[#This Row],[Cost, $MSRP
CAD]],0.75))</f>
        <v>75000</v>
      </c>
      <c r="AQ73" s="40">
        <f>MIN(MAX(EV_DB[[#This Row],[Federal Rebates (iMHZEV) ]],EV_DB[[#This Row],[NU Vehicle Rebates]]),PRODUCT(EV_DB[[#This Row],[Cost, $MSRP
CAD]],0.75))</f>
        <v>75000</v>
      </c>
      <c r="AR73" s="194">
        <f>MIN(MAX(EV_DB[[#This Row],[Federal Rebates (iMHZEV) ]],EV_DB[[#This Row],[NT Vehicle Rebates]]),PRODUCT(EV_DB[[#This Row],[Cost, $MSRP
CAD]],0.75))</f>
        <v>75000</v>
      </c>
    </row>
    <row r="74" spans="1:44" ht="30.95">
      <c r="A74" s="40" t="s">
        <v>457</v>
      </c>
      <c r="B74" s="40" t="s">
        <v>561</v>
      </c>
      <c r="C74" s="90" t="str">
        <f>EV_DB[[#This Row],[Manufacturer  ]]&amp; " " &amp;EV_DB[[#This Row],[Model]]</f>
        <v>Rizon e18L</v>
      </c>
      <c r="D74" s="40" t="s">
        <v>557</v>
      </c>
      <c r="E74" s="40">
        <v>2025</v>
      </c>
      <c r="F74" s="40">
        <v>5</v>
      </c>
      <c r="G74" s="90" t="str" cm="1">
        <f t="array" ref="G74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Medium Duty</v>
      </c>
      <c r="H74" s="40">
        <v>17995</v>
      </c>
      <c r="I74" s="41">
        <v>9500</v>
      </c>
      <c r="J74" s="71">
        <v>256478</v>
      </c>
      <c r="K74" s="92" cm="1">
        <f t="array" ref="K74">_xlfn.IFS(EV_DB[[#This Row],[Category]]="Light Duty",'Maintenance costs table'!$D$4,EV_DB[[#This Row],[Category]]="Medium Duty",'Maintenance costs table'!$D$8,EV_DB[[#This Row],[Category]]="Heavy Duty",'Maintenance costs table'!$D$6)</f>
        <v>0.25</v>
      </c>
      <c r="L74" s="42" t="s">
        <v>354</v>
      </c>
      <c r="M74" s="40">
        <v>124</v>
      </c>
      <c r="N74" s="40">
        <v>0.5</v>
      </c>
      <c r="O74" s="40" t="s">
        <v>558</v>
      </c>
      <c r="P74" s="40"/>
      <c r="Q74" s="41">
        <v>241</v>
      </c>
      <c r="R74" s="41" cm="1">
        <f t="array" ref="R74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75000</v>
      </c>
      <c r="S74" s="41"/>
      <c r="T74" s="40" cm="1">
        <f t="array" ref="T74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75000</v>
      </c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90">
        <f>MIN(MAX(EV_DB[[#This Row],[Federal Rebates (iMHZEV) ]],EV_DB[[#This Row],[ON Vehicle Rebates]]),PRODUCT(EV_DB[[#This Row],[Cost, $MSRP
CAD]],0.75))</f>
        <v>75000</v>
      </c>
      <c r="AG74" s="90">
        <f>MIN(EV_DB[[#This Row],[Federal Rebates (iMHZEV) ]]+EV_DB[[#This Row],[BC Vehicle Rebates]],PRODUCT(EV_DB[[#This Row],[Cost, $MSRP
CAD]],0.75))</f>
        <v>150000</v>
      </c>
      <c r="AH74" s="40">
        <f>MIN(EV_DB[[#This Row],[Federal Rebates (iMHZEV) ]]+EV_DB[[#This Row],[QC Vehicle Rebates]],PRODUCT(EV_DB[[#This Row],[Cost, $MSRP
CAD]],0.75))</f>
        <v>75000</v>
      </c>
      <c r="AI74" s="40">
        <f>MIN(MAX(EV_DB[[#This Row],[Federal Rebates (iMHZEV) ]],EV_DB[[#This Row],[AB Vehicle Rebates]]),PRODUCT(EV_DB[[#This Row],[Cost, $MSRP
CAD]],0.75))</f>
        <v>75000</v>
      </c>
      <c r="AJ74" s="40">
        <f>MIN(MAX(EV_DB[[#This Row],[Federal Rebates (iMHZEV) ]],EV_DB[[#This Row],[SC Vehicle Rebates]]),PRODUCT(EV_DB[[#This Row],[Cost, $MSRP
CAD]],0.75))</f>
        <v>75000</v>
      </c>
      <c r="AK74" s="40">
        <f>MIN(MAX(EV_DB[[#This Row],[Federal Rebates (iMHZEV) ]],EV_DB[[#This Row],[NS Vehicle Rebates]]),PRODUCT(EV_DB[[#This Row],[Cost, $MSRP
CAD]],0.75))</f>
        <v>75000</v>
      </c>
      <c r="AL74" s="40">
        <f>MIN(MAX(EV_DB[[#This Row],[Federal Rebates (iMHZEV) ]],EV_DB[[#This Row],[NB Vehicle Rebates]]),PRODUCT(EV_DB[[#This Row],[Cost, $MSRP
CAD]],0.75))</f>
        <v>75000</v>
      </c>
      <c r="AM74" s="40">
        <f>MIN(MAX(EV_DB[[#This Row],[Federal Rebates (iMHZEV) ]],EV_DB[[#This Row],[MB Vehicle Rebates]]),PRODUCT(EV_DB[[#This Row],[Cost, $MSRP
CAD]],0.75))</f>
        <v>75000</v>
      </c>
      <c r="AN74" s="40">
        <f>MIN(MAX(EV_DB[[#This Row],[Federal Rebates (iMHZEV) ]],EV_DB[[#This Row],[PEI Vehicle Rebates]]),PRODUCT(EV_DB[[#This Row],[Cost, $MSRP
CAD]],0.75))</f>
        <v>75000</v>
      </c>
      <c r="AO74" s="40">
        <f>MIN(MAX(EV_DB[[#This Row],[Federal Rebates (iMHZEV) ]],EV_DB[[#This Row],[NL Vehicle Rebates]]),PRODUCT(EV_DB[[#This Row],[Cost, $MSRP
CAD]],0.75))</f>
        <v>75000</v>
      </c>
      <c r="AP74" s="40">
        <f>MIN(MAX(EV_DB[[#This Row],[Federal Rebates (iMHZEV) ]]+EV_DB[[#This Row],[YT Vehicle Rebates]]),PRODUCT(EV_DB[[#This Row],[Cost, $MSRP
CAD]],0.75))</f>
        <v>75000</v>
      </c>
      <c r="AQ74" s="40">
        <f>MIN(MAX(EV_DB[[#This Row],[Federal Rebates (iMHZEV) ]],EV_DB[[#This Row],[NU Vehicle Rebates]]),PRODUCT(EV_DB[[#This Row],[Cost, $MSRP
CAD]],0.75))</f>
        <v>75000</v>
      </c>
      <c r="AR74" s="194">
        <f>MIN(MAX(EV_DB[[#This Row],[Federal Rebates (iMHZEV) ]],EV_DB[[#This Row],[NT Vehicle Rebates]]),PRODUCT(EV_DB[[#This Row],[Cost, $MSRP
CAD]],0.75))</f>
        <v>75000</v>
      </c>
    </row>
    <row r="75" spans="1:44" ht="30.95">
      <c r="A75" s="40" t="s">
        <v>328</v>
      </c>
      <c r="B75" s="40" t="s">
        <v>562</v>
      </c>
      <c r="C75" s="90" t="str">
        <f>EV_DB[[#This Row],[Manufacturer  ]]&amp; " " &amp;EV_DB[[#This Row],[Model]]</f>
        <v>Ford Mach-e Premium Standard range RWD</v>
      </c>
      <c r="D75" s="40" t="s">
        <v>563</v>
      </c>
      <c r="E75" s="40">
        <v>2025</v>
      </c>
      <c r="F75" s="40" t="s">
        <v>295</v>
      </c>
      <c r="G75" s="90" t="str" cm="1">
        <f t="array" ref="G75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Light Duty</v>
      </c>
      <c r="H75" s="40"/>
      <c r="I75" s="41">
        <v>890</v>
      </c>
      <c r="J75" s="71">
        <v>50343</v>
      </c>
      <c r="K75" s="92" cm="1">
        <f t="array" ref="K75">_xlfn.IFS(EV_DB[[#This Row],[Category]]="Light Duty",'Maintenance costs table'!$D$4,EV_DB[[#This Row],[Category]]="Medium Duty",'Maintenance costs table'!$D$8,EV_DB[[#This Row],[Category]]="Heavy Duty",'Maintenance costs table'!$D$6)</f>
        <v>0.18</v>
      </c>
      <c r="L75" s="42" t="s">
        <v>17</v>
      </c>
      <c r="M75" s="40" t="s">
        <v>564</v>
      </c>
      <c r="N75" s="40">
        <v>0.19</v>
      </c>
      <c r="O75" s="40"/>
      <c r="P75" s="40"/>
      <c r="Q75" s="41">
        <v>380</v>
      </c>
      <c r="R75" s="41">
        <v>0</v>
      </c>
      <c r="S75" s="41"/>
      <c r="T75" s="40">
        <v>0</v>
      </c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90">
        <f>MIN(MAX(EV_DB[[#This Row],[Federal Rebates (iMHZEV) ]],EV_DB[[#This Row],[ON Vehicle Rebates]]),PRODUCT(EV_DB[[#This Row],[Cost, $MSRP
CAD]],0.75))</f>
        <v>0</v>
      </c>
      <c r="AG75" s="90">
        <f>MIN(EV_DB[[#This Row],[Federal Rebates (iMHZEV) ]]+EV_DB[[#This Row],[BC Vehicle Rebates]],PRODUCT(EV_DB[[#This Row],[Cost, $MSRP
CAD]],0.75))</f>
        <v>0</v>
      </c>
      <c r="AH75" s="40">
        <f>MIN(EV_DB[[#This Row],[Federal Rebates (iMHZEV) ]]+EV_DB[[#This Row],[QC Vehicle Rebates]],PRODUCT(EV_DB[[#This Row],[Cost, $MSRP
CAD]],0.75))</f>
        <v>0</v>
      </c>
      <c r="AI75" s="40">
        <f>MIN(MAX(EV_DB[[#This Row],[Federal Rebates (iMHZEV) ]],EV_DB[[#This Row],[AB Vehicle Rebates]]),PRODUCT(EV_DB[[#This Row],[Cost, $MSRP
CAD]],0.75))</f>
        <v>0</v>
      </c>
      <c r="AJ75" s="40">
        <f>MIN(MAX(EV_DB[[#This Row],[Federal Rebates (iMHZEV) ]],EV_DB[[#This Row],[SC Vehicle Rebates]]),PRODUCT(EV_DB[[#This Row],[Cost, $MSRP
CAD]],0.75))</f>
        <v>0</v>
      </c>
      <c r="AK75" s="40">
        <f>MIN(MAX(EV_DB[[#This Row],[Federal Rebates (iMHZEV) ]],EV_DB[[#This Row],[NS Vehicle Rebates]]),PRODUCT(EV_DB[[#This Row],[Cost, $MSRP
CAD]],0.75))</f>
        <v>0</v>
      </c>
      <c r="AL75" s="40">
        <f>MIN(MAX(EV_DB[[#This Row],[Federal Rebates (iMHZEV) ]],EV_DB[[#This Row],[NB Vehicle Rebates]]),PRODUCT(EV_DB[[#This Row],[Cost, $MSRP
CAD]],0.75))</f>
        <v>0</v>
      </c>
      <c r="AM75" s="40">
        <f>MIN(MAX(EV_DB[[#This Row],[Federal Rebates (iMHZEV) ]],EV_DB[[#This Row],[MB Vehicle Rebates]]),PRODUCT(EV_DB[[#This Row],[Cost, $MSRP
CAD]],0.75))</f>
        <v>0</v>
      </c>
      <c r="AN75" s="40">
        <f>MIN(MAX(EV_DB[[#This Row],[Federal Rebates (iMHZEV) ]],EV_DB[[#This Row],[PEI Vehicle Rebates]]),PRODUCT(EV_DB[[#This Row],[Cost, $MSRP
CAD]],0.75))</f>
        <v>0</v>
      </c>
      <c r="AO75" s="40">
        <f>MIN(MAX(EV_DB[[#This Row],[Federal Rebates (iMHZEV) ]],EV_DB[[#This Row],[NL Vehicle Rebates]]),PRODUCT(EV_DB[[#This Row],[Cost, $MSRP
CAD]],0.75))</f>
        <v>0</v>
      </c>
      <c r="AP75" s="40">
        <f>MIN(MAX(EV_DB[[#This Row],[Federal Rebates (iMHZEV) ]]+EV_DB[[#This Row],[YT Vehicle Rebates]]),PRODUCT(EV_DB[[#This Row],[Cost, $MSRP
CAD]],0.75))</f>
        <v>0</v>
      </c>
      <c r="AQ75" s="40">
        <f>MIN(MAX(EV_DB[[#This Row],[Federal Rebates (iMHZEV) ]],EV_DB[[#This Row],[NU Vehicle Rebates]]),PRODUCT(EV_DB[[#This Row],[Cost, $MSRP
CAD]],0.75))</f>
        <v>0</v>
      </c>
      <c r="AR75" s="194">
        <f>MIN(MAX(EV_DB[[#This Row],[Federal Rebates (iMHZEV) ]],EV_DB[[#This Row],[NT Vehicle Rebates]]),PRODUCT(EV_DB[[#This Row],[Cost, $MSRP
CAD]],0.75))</f>
        <v>0</v>
      </c>
    </row>
    <row r="76" spans="1:44" ht="30.95">
      <c r="A76" s="40" t="s">
        <v>565</v>
      </c>
      <c r="B76" s="40" t="s">
        <v>566</v>
      </c>
      <c r="C76" s="90" t="str">
        <f>EV_DB[[#This Row],[Manufacturer  ]]&amp; " " &amp;EV_DB[[#This Row],[Model]]</f>
        <v>Tesla Model Y Extended Range AWD</v>
      </c>
      <c r="D76" s="40" t="s">
        <v>563</v>
      </c>
      <c r="E76" s="40">
        <v>2025</v>
      </c>
      <c r="F76" s="40" t="s">
        <v>295</v>
      </c>
      <c r="G76" s="90" t="str" cm="1">
        <f t="array" ref="G76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Light Duty</v>
      </c>
      <c r="H76" s="40"/>
      <c r="I76" s="41">
        <v>860</v>
      </c>
      <c r="J76" s="71">
        <v>67632</v>
      </c>
      <c r="K76" s="92" cm="1">
        <f t="array" ref="K76">_xlfn.IFS(EV_DB[[#This Row],[Category]]="Light Duty",'Maintenance costs table'!$D$4,EV_DB[[#This Row],[Category]]="Medium Duty",'Maintenance costs table'!$D$8,EV_DB[[#This Row],[Category]]="Heavy Duty",'Maintenance costs table'!$D$6)</f>
        <v>0.18</v>
      </c>
      <c r="L76" s="42" t="s">
        <v>17</v>
      </c>
      <c r="M76" s="40" t="s">
        <v>567</v>
      </c>
      <c r="N76" s="40">
        <v>0.15</v>
      </c>
      <c r="O76" s="40"/>
      <c r="P76" s="40"/>
      <c r="Q76" s="41">
        <v>526</v>
      </c>
      <c r="R76" s="41">
        <v>0</v>
      </c>
      <c r="S76" s="41"/>
      <c r="T76" s="40">
        <v>0</v>
      </c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90">
        <f>MIN(MAX(EV_DB[[#This Row],[Federal Rebates (iMHZEV) ]],EV_DB[[#This Row],[ON Vehicle Rebates]]),PRODUCT(EV_DB[[#This Row],[Cost, $MSRP
CAD]],0.75))</f>
        <v>0</v>
      </c>
      <c r="AG76" s="90">
        <f>MIN(EV_DB[[#This Row],[Federal Rebates (iMHZEV) ]]+EV_DB[[#This Row],[BC Vehicle Rebates]],PRODUCT(EV_DB[[#This Row],[Cost, $MSRP
CAD]],0.75))</f>
        <v>0</v>
      </c>
      <c r="AH76" s="40">
        <f>MIN(EV_DB[[#This Row],[Federal Rebates (iMHZEV) ]]+EV_DB[[#This Row],[QC Vehicle Rebates]],PRODUCT(EV_DB[[#This Row],[Cost, $MSRP
CAD]],0.75))</f>
        <v>0</v>
      </c>
      <c r="AI76" s="40">
        <f>MIN(MAX(EV_DB[[#This Row],[Federal Rebates (iMHZEV) ]],EV_DB[[#This Row],[AB Vehicle Rebates]]),PRODUCT(EV_DB[[#This Row],[Cost, $MSRP
CAD]],0.75))</f>
        <v>0</v>
      </c>
      <c r="AJ76" s="40">
        <f>MIN(MAX(EV_DB[[#This Row],[Federal Rebates (iMHZEV) ]],EV_DB[[#This Row],[SC Vehicle Rebates]]),PRODUCT(EV_DB[[#This Row],[Cost, $MSRP
CAD]],0.75))</f>
        <v>0</v>
      </c>
      <c r="AK76" s="40">
        <f>MIN(MAX(EV_DB[[#This Row],[Federal Rebates (iMHZEV) ]],EV_DB[[#This Row],[NS Vehicle Rebates]]),PRODUCT(EV_DB[[#This Row],[Cost, $MSRP
CAD]],0.75))</f>
        <v>0</v>
      </c>
      <c r="AL76" s="40">
        <f>MIN(MAX(EV_DB[[#This Row],[Federal Rebates (iMHZEV) ]],EV_DB[[#This Row],[NB Vehicle Rebates]]),PRODUCT(EV_DB[[#This Row],[Cost, $MSRP
CAD]],0.75))</f>
        <v>0</v>
      </c>
      <c r="AM76" s="40">
        <f>MIN(MAX(EV_DB[[#This Row],[Federal Rebates (iMHZEV) ]],EV_DB[[#This Row],[MB Vehicle Rebates]]),PRODUCT(EV_DB[[#This Row],[Cost, $MSRP
CAD]],0.75))</f>
        <v>0</v>
      </c>
      <c r="AN76" s="40">
        <f>MIN(MAX(EV_DB[[#This Row],[Federal Rebates (iMHZEV) ]],EV_DB[[#This Row],[PEI Vehicle Rebates]]),PRODUCT(EV_DB[[#This Row],[Cost, $MSRP
CAD]],0.75))</f>
        <v>0</v>
      </c>
      <c r="AO76" s="40">
        <f>MIN(MAX(EV_DB[[#This Row],[Federal Rebates (iMHZEV) ]],EV_DB[[#This Row],[NL Vehicle Rebates]]),PRODUCT(EV_DB[[#This Row],[Cost, $MSRP
CAD]],0.75))</f>
        <v>0</v>
      </c>
      <c r="AP76" s="40">
        <f>MIN(MAX(EV_DB[[#This Row],[Federal Rebates (iMHZEV) ]]+EV_DB[[#This Row],[YT Vehicle Rebates]]),PRODUCT(EV_DB[[#This Row],[Cost, $MSRP
CAD]],0.75))</f>
        <v>0</v>
      </c>
      <c r="AQ76" s="40">
        <f>MIN(MAX(EV_DB[[#This Row],[Federal Rebates (iMHZEV) ]],EV_DB[[#This Row],[NU Vehicle Rebates]]),PRODUCT(EV_DB[[#This Row],[Cost, $MSRP
CAD]],0.75))</f>
        <v>0</v>
      </c>
      <c r="AR76" s="194">
        <f>MIN(MAX(EV_DB[[#This Row],[Federal Rebates (iMHZEV) ]],EV_DB[[#This Row],[NT Vehicle Rebates]]),PRODUCT(EV_DB[[#This Row],[Cost, $MSRP
CAD]],0.75))</f>
        <v>0</v>
      </c>
    </row>
    <row r="77" spans="1:44" ht="15.6">
      <c r="A77" s="40" t="s">
        <v>303</v>
      </c>
      <c r="B77" s="40" t="s">
        <v>568</v>
      </c>
      <c r="C77" s="90" t="str">
        <f>EV_DB[[#This Row],[Manufacturer  ]]&amp; " " &amp;EV_DB[[#This Row],[Model]]</f>
        <v>Chevrolet Equinox EX LT</v>
      </c>
      <c r="D77" s="40" t="s">
        <v>563</v>
      </c>
      <c r="E77" s="40">
        <v>2025</v>
      </c>
      <c r="F77" s="40" t="s">
        <v>295</v>
      </c>
      <c r="G77" s="90" t="str" cm="1">
        <f t="array" ref="G77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Light Duty</v>
      </c>
      <c r="H77" s="40"/>
      <c r="I77" s="41">
        <v>1172</v>
      </c>
      <c r="J77" s="71">
        <v>55339</v>
      </c>
      <c r="K77" s="92" cm="1">
        <f t="array" ref="K77">_xlfn.IFS(EV_DB[[#This Row],[Category]]="Light Duty",'Maintenance costs table'!$D$4,EV_DB[[#This Row],[Category]]="Medium Duty",'Maintenance costs table'!$D$8,EV_DB[[#This Row],[Category]]="Heavy Duty",'Maintenance costs table'!$D$6)</f>
        <v>0.18</v>
      </c>
      <c r="L77" s="42" t="s">
        <v>17</v>
      </c>
      <c r="M77" s="40" t="s">
        <v>569</v>
      </c>
      <c r="N77" s="40">
        <v>0.19</v>
      </c>
      <c r="O77" s="40"/>
      <c r="P77" s="40"/>
      <c r="Q77" s="41">
        <v>494</v>
      </c>
      <c r="R77" s="41">
        <v>0</v>
      </c>
      <c r="S77" s="41"/>
      <c r="T77" s="40">
        <v>0</v>
      </c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90">
        <f>MIN(MAX(EV_DB[[#This Row],[Federal Rebates (iMHZEV) ]],EV_DB[[#This Row],[ON Vehicle Rebates]]),PRODUCT(EV_DB[[#This Row],[Cost, $MSRP
CAD]],0.75))</f>
        <v>0</v>
      </c>
      <c r="AG77" s="90">
        <f>MIN(EV_DB[[#This Row],[Federal Rebates (iMHZEV) ]]+EV_DB[[#This Row],[BC Vehicle Rebates]],PRODUCT(EV_DB[[#This Row],[Cost, $MSRP
CAD]],0.75))</f>
        <v>0</v>
      </c>
      <c r="AH77" s="40">
        <f>MIN(EV_DB[[#This Row],[Federal Rebates (iMHZEV) ]]+EV_DB[[#This Row],[QC Vehicle Rebates]],PRODUCT(EV_DB[[#This Row],[Cost, $MSRP
CAD]],0.75))</f>
        <v>0</v>
      </c>
      <c r="AI77" s="40">
        <f>MIN(MAX(EV_DB[[#This Row],[Federal Rebates (iMHZEV) ]],EV_DB[[#This Row],[AB Vehicle Rebates]]),PRODUCT(EV_DB[[#This Row],[Cost, $MSRP
CAD]],0.75))</f>
        <v>0</v>
      </c>
      <c r="AJ77" s="40">
        <f>MIN(MAX(EV_DB[[#This Row],[Federal Rebates (iMHZEV) ]],EV_DB[[#This Row],[SC Vehicle Rebates]]),PRODUCT(EV_DB[[#This Row],[Cost, $MSRP
CAD]],0.75))</f>
        <v>0</v>
      </c>
      <c r="AK77" s="40">
        <f>MIN(MAX(EV_DB[[#This Row],[Federal Rebates (iMHZEV) ]],EV_DB[[#This Row],[NS Vehicle Rebates]]),PRODUCT(EV_DB[[#This Row],[Cost, $MSRP
CAD]],0.75))</f>
        <v>0</v>
      </c>
      <c r="AL77" s="40">
        <f>MIN(MAX(EV_DB[[#This Row],[Federal Rebates (iMHZEV) ]],EV_DB[[#This Row],[NB Vehicle Rebates]]),PRODUCT(EV_DB[[#This Row],[Cost, $MSRP
CAD]],0.75))</f>
        <v>0</v>
      </c>
      <c r="AM77" s="40">
        <f>MIN(MAX(EV_DB[[#This Row],[Federal Rebates (iMHZEV) ]],EV_DB[[#This Row],[MB Vehicle Rebates]]),PRODUCT(EV_DB[[#This Row],[Cost, $MSRP
CAD]],0.75))</f>
        <v>0</v>
      </c>
      <c r="AN77" s="40">
        <f>MIN(MAX(EV_DB[[#This Row],[Federal Rebates (iMHZEV) ]],EV_DB[[#This Row],[PEI Vehicle Rebates]]),PRODUCT(EV_DB[[#This Row],[Cost, $MSRP
CAD]],0.75))</f>
        <v>0</v>
      </c>
      <c r="AO77" s="40">
        <f>MIN(MAX(EV_DB[[#This Row],[Federal Rebates (iMHZEV) ]],EV_DB[[#This Row],[NL Vehicle Rebates]]),PRODUCT(EV_DB[[#This Row],[Cost, $MSRP
CAD]],0.75))</f>
        <v>0</v>
      </c>
      <c r="AP77" s="40">
        <f>MIN(MAX(EV_DB[[#This Row],[Federal Rebates (iMHZEV) ]]+EV_DB[[#This Row],[YT Vehicle Rebates]]),PRODUCT(EV_DB[[#This Row],[Cost, $MSRP
CAD]],0.75))</f>
        <v>0</v>
      </c>
      <c r="AQ77" s="40">
        <f>MIN(MAX(EV_DB[[#This Row],[Federal Rebates (iMHZEV) ]],EV_DB[[#This Row],[NU Vehicle Rebates]]),PRODUCT(EV_DB[[#This Row],[Cost, $MSRP
CAD]],0.75))</f>
        <v>0</v>
      </c>
      <c r="AR77" s="194">
        <f>MIN(MAX(EV_DB[[#This Row],[Federal Rebates (iMHZEV) ]],EV_DB[[#This Row],[NT Vehicle Rebates]]),PRODUCT(EV_DB[[#This Row],[Cost, $MSRP
CAD]],0.75))</f>
        <v>0</v>
      </c>
    </row>
    <row r="78" spans="1:44" ht="15.6">
      <c r="A78" s="40" t="s">
        <v>570</v>
      </c>
      <c r="B78" s="40" t="s">
        <v>571</v>
      </c>
      <c r="C78" s="90" t="str">
        <f>EV_DB[[#This Row],[Manufacturer  ]]&amp; " " &amp;EV_DB[[#This Row],[Model]]</f>
        <v>New Flyer XE40</v>
      </c>
      <c r="D78" s="40" t="s">
        <v>572</v>
      </c>
      <c r="E78" s="40"/>
      <c r="F78" s="40">
        <v>8</v>
      </c>
      <c r="G78" s="90" t="str" cm="1">
        <f t="array" ref="G78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Heavy Duty</v>
      </c>
      <c r="H78" s="40"/>
      <c r="I78" s="41">
        <v>10780</v>
      </c>
      <c r="J78" s="71">
        <v>1400000</v>
      </c>
      <c r="K78" s="92" cm="1">
        <f t="array" ref="K78">_xlfn.IFS(EV_DB[[#This Row],[Category]]="Light Duty",'Maintenance costs table'!$D$4,EV_DB[[#This Row],[Category]]="Medium Duty",'Maintenance costs table'!$D$8,EV_DB[[#This Row],[Category]]="Heavy Duty",'Maintenance costs table'!$D$6)</f>
        <v>0.43</v>
      </c>
      <c r="L78" s="42" t="s">
        <v>17</v>
      </c>
      <c r="M78" s="40" t="s">
        <v>573</v>
      </c>
      <c r="N78" s="40">
        <v>1.22</v>
      </c>
      <c r="O78" s="40"/>
      <c r="P78" s="40"/>
      <c r="Q78" s="41"/>
      <c r="R78" s="41" cm="1">
        <f t="array" ref="R78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200000</v>
      </c>
      <c r="S78" s="41"/>
      <c r="T78" s="40" cm="1">
        <f t="array" ref="T78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150000</v>
      </c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90">
        <f>MIN(MAX(EV_DB[[#This Row],[Federal Rebates (iMHZEV) ]],EV_DB[[#This Row],[ON Vehicle Rebates]]),PRODUCT(EV_DB[[#This Row],[Cost, $MSRP
CAD]],0.75))</f>
        <v>200000</v>
      </c>
      <c r="AG78" s="90">
        <f>MIN(EV_DB[[#This Row],[Federal Rebates (iMHZEV) ]]+EV_DB[[#This Row],[BC Vehicle Rebates]],PRODUCT(EV_DB[[#This Row],[Cost, $MSRP
CAD]],0.75))</f>
        <v>350000</v>
      </c>
      <c r="AH78" s="40">
        <f>MIN(EV_DB[[#This Row],[Federal Rebates (iMHZEV) ]]+EV_DB[[#This Row],[QC Vehicle Rebates]],PRODUCT(EV_DB[[#This Row],[Cost, $MSRP
CAD]],0.75))</f>
        <v>200000</v>
      </c>
      <c r="AI78" s="40">
        <f>MIN(MAX(EV_DB[[#This Row],[Federal Rebates (iMHZEV) ]],EV_DB[[#This Row],[AB Vehicle Rebates]]),PRODUCT(EV_DB[[#This Row],[Cost, $MSRP
CAD]],0.75))</f>
        <v>200000</v>
      </c>
      <c r="AJ78" s="40">
        <f>MIN(MAX(EV_DB[[#This Row],[Federal Rebates (iMHZEV) ]],EV_DB[[#This Row],[SC Vehicle Rebates]]),PRODUCT(EV_DB[[#This Row],[Cost, $MSRP
CAD]],0.75))</f>
        <v>200000</v>
      </c>
      <c r="AK78" s="40">
        <f>MIN(MAX(EV_DB[[#This Row],[Federal Rebates (iMHZEV) ]],EV_DB[[#This Row],[NS Vehicle Rebates]]),PRODUCT(EV_DB[[#This Row],[Cost, $MSRP
CAD]],0.75))</f>
        <v>200000</v>
      </c>
      <c r="AL78" s="40">
        <f>MIN(MAX(EV_DB[[#This Row],[Federal Rebates (iMHZEV) ]],EV_DB[[#This Row],[NB Vehicle Rebates]]),PRODUCT(EV_DB[[#This Row],[Cost, $MSRP
CAD]],0.75))</f>
        <v>200000</v>
      </c>
      <c r="AM78" s="40">
        <f>MIN(MAX(EV_DB[[#This Row],[Federal Rebates (iMHZEV) ]],EV_DB[[#This Row],[MB Vehicle Rebates]]),PRODUCT(EV_DB[[#This Row],[Cost, $MSRP
CAD]],0.75))</f>
        <v>200000</v>
      </c>
      <c r="AN78" s="40">
        <f>MIN(MAX(EV_DB[[#This Row],[Federal Rebates (iMHZEV) ]],EV_DB[[#This Row],[PEI Vehicle Rebates]]),PRODUCT(EV_DB[[#This Row],[Cost, $MSRP
CAD]],0.75))</f>
        <v>200000</v>
      </c>
      <c r="AO78" s="40">
        <f>MIN(MAX(EV_DB[[#This Row],[Federal Rebates (iMHZEV) ]],EV_DB[[#This Row],[NL Vehicle Rebates]]),PRODUCT(EV_DB[[#This Row],[Cost, $MSRP
CAD]],0.75))</f>
        <v>200000</v>
      </c>
      <c r="AP78" s="40">
        <f>MIN(MAX(EV_DB[[#This Row],[Federal Rebates (iMHZEV) ]]+EV_DB[[#This Row],[YT Vehicle Rebates]]),PRODUCT(EV_DB[[#This Row],[Cost, $MSRP
CAD]],0.75))</f>
        <v>200000</v>
      </c>
      <c r="AQ78" s="40">
        <f>MIN(MAX(EV_DB[[#This Row],[Federal Rebates (iMHZEV) ]],EV_DB[[#This Row],[NU Vehicle Rebates]]),PRODUCT(EV_DB[[#This Row],[Cost, $MSRP
CAD]],0.75))</f>
        <v>200000</v>
      </c>
      <c r="AR78" s="194">
        <f>MIN(MAX(EV_DB[[#This Row],[Federal Rebates (iMHZEV) ]],EV_DB[[#This Row],[NT Vehicle Rebates]]),PRODUCT(EV_DB[[#This Row],[Cost, $MSRP
CAD]],0.75))</f>
        <v>200000</v>
      </c>
    </row>
    <row r="79" spans="1:44" ht="15.6">
      <c r="A79" s="40" t="s">
        <v>574</v>
      </c>
      <c r="B79" s="40"/>
      <c r="C79" s="90" t="str">
        <f>EV_DB[[#This Row],[Manufacturer  ]]&amp; " " &amp;EV_DB[[#This Row],[Model]]</f>
        <v xml:space="preserve">BC transit NOVA </v>
      </c>
      <c r="D79" s="40" t="s">
        <v>572</v>
      </c>
      <c r="E79" s="40"/>
      <c r="F79" s="40">
        <v>8</v>
      </c>
      <c r="G79" s="90" t="str" cm="1">
        <f t="array" ref="G79">_xlfn.IFS(OR(EV_DB[[#This Row],[FHWA Class (2B - 8)]]= "2B", EV_DB[[#This Row],[FHWA Class (2B - 8)]]=3), "Light Duty",OR(EV_DB[[#This Row],[FHWA Class (2B - 8)]]=4,EV_DB[[#This Row],[FHWA Class (2B - 8)]]=5,EV_DB[[#This Row],[FHWA Class (2B - 8)]]=6),"Medium Duty",OR(EV_DB[[#This Row],[FHWA Class (2B - 8)]]=7,EV_DB[[#This Row],[FHWA Class (2B - 8)]]=8), "Heavy Duty")</f>
        <v>Heavy Duty</v>
      </c>
      <c r="H79" s="40"/>
      <c r="I79" s="41"/>
      <c r="J79" s="71">
        <v>1750000</v>
      </c>
      <c r="K79" s="92" cm="1">
        <f t="array" ref="K79">_xlfn.IFS(EV_DB[[#This Row],[Category]]="Light Duty",'Maintenance costs table'!$D$4,EV_DB[[#This Row],[Category]]="Medium Duty",'Maintenance costs table'!$D$8,EV_DB[[#This Row],[Category]]="Heavy Duty",'Maintenance costs table'!$D$6)</f>
        <v>0.43</v>
      </c>
      <c r="L79" s="42" t="s">
        <v>17</v>
      </c>
      <c r="M79" s="40"/>
      <c r="N79" s="40"/>
      <c r="O79" s="40"/>
      <c r="P79" s="40"/>
      <c r="Q79" s="41"/>
      <c r="R79" s="41" cm="1">
        <f t="array" ref="R79">_xlfn.IFS(EV_DB[[#This Row],[Battery Size, kWh]]&gt;350 &amp; EV_DB[[#This Row],[FHWA Class (2B - 8)]]=8,'iMHZEV table'!$D$4,EV_DB[[#This Row],[Battery Size, kWh]]&lt;=350 &amp; EV_DB[[#This Row],[FHWA Class (2B - 8)]]=8,'iMHZEV table'!$D$5, TRUE, _xlfn.XLOOKUP(EV_DB[[#This Row],[FHWA Class (2B - 8)]],'iMHZEV table'!$A$3:$A$11,'iMHZEV table'!$D$3:$D$11))</f>
        <v>200000</v>
      </c>
      <c r="S79" s="41"/>
      <c r="T79" s="40" cm="1">
        <f t="array" ref="T79">_xlfn.IFS(EV_DB[[#This Row],[FHWA Class (2B - 8)]]= "2B",10000,EV_DB[[#This Row],[FHWA Class (2B - 8)]]=3,55000,OR(EV_DB[[#This Row],[FHWA Class (2B - 8)]]=4,EV_DB[[#This Row],[FHWA Class (2B - 8)]]=5), 75000,OR(EV_DB[[#This Row],[FHWA Class (2B - 8)]]=6,EV_DB[[#This Row],[FHWA Class (2B - 8)]]=7),100000,EV_DB[[#This Row],[FHWA Class (2B - 8)]]=8, 150000)</f>
        <v>150000</v>
      </c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90">
        <f>MIN(MAX(EV_DB[[#This Row],[Federal Rebates (iMHZEV) ]],EV_DB[[#This Row],[ON Vehicle Rebates]]),PRODUCT(EV_DB[[#This Row],[Cost, $MSRP
CAD]],0.75))</f>
        <v>200000</v>
      </c>
      <c r="AG79" s="90">
        <f>MIN(EV_DB[[#This Row],[Federal Rebates (iMHZEV) ]]+EV_DB[[#This Row],[BC Vehicle Rebates]],PRODUCT(EV_DB[[#This Row],[Cost, $MSRP
CAD]],0.75))</f>
        <v>350000</v>
      </c>
      <c r="AH79" s="40">
        <f>MIN(EV_DB[[#This Row],[Federal Rebates (iMHZEV) ]]+EV_DB[[#This Row],[QC Vehicle Rebates]],PRODUCT(EV_DB[[#This Row],[Cost, $MSRP
CAD]],0.75))</f>
        <v>200000</v>
      </c>
      <c r="AI79" s="40">
        <f>MIN(MAX(EV_DB[[#This Row],[Federal Rebates (iMHZEV) ]],EV_DB[[#This Row],[AB Vehicle Rebates]]),PRODUCT(EV_DB[[#This Row],[Cost, $MSRP
CAD]],0.75))</f>
        <v>200000</v>
      </c>
      <c r="AJ79" s="40">
        <f>MIN(MAX(EV_DB[[#This Row],[Federal Rebates (iMHZEV) ]],EV_DB[[#This Row],[SC Vehicle Rebates]]),PRODUCT(EV_DB[[#This Row],[Cost, $MSRP
CAD]],0.75))</f>
        <v>200000</v>
      </c>
      <c r="AK79" s="40">
        <f>MIN(MAX(EV_DB[[#This Row],[Federal Rebates (iMHZEV) ]],EV_DB[[#This Row],[NS Vehicle Rebates]]),PRODUCT(EV_DB[[#This Row],[Cost, $MSRP
CAD]],0.75))</f>
        <v>200000</v>
      </c>
      <c r="AL79" s="40">
        <f>MIN(MAX(EV_DB[[#This Row],[Federal Rebates (iMHZEV) ]],EV_DB[[#This Row],[NB Vehicle Rebates]]),PRODUCT(EV_DB[[#This Row],[Cost, $MSRP
CAD]],0.75))</f>
        <v>200000</v>
      </c>
      <c r="AM79" s="40">
        <f>MIN(MAX(EV_DB[[#This Row],[Federal Rebates (iMHZEV) ]],EV_DB[[#This Row],[MB Vehicle Rebates]]),PRODUCT(EV_DB[[#This Row],[Cost, $MSRP
CAD]],0.75))</f>
        <v>200000</v>
      </c>
      <c r="AN79" s="40">
        <f>MIN(MAX(EV_DB[[#This Row],[Federal Rebates (iMHZEV) ]],EV_DB[[#This Row],[PEI Vehicle Rebates]]),PRODUCT(EV_DB[[#This Row],[Cost, $MSRP
CAD]],0.75))</f>
        <v>200000</v>
      </c>
      <c r="AO79" s="40">
        <f>MIN(MAX(EV_DB[[#This Row],[Federal Rebates (iMHZEV) ]],EV_DB[[#This Row],[NL Vehicle Rebates]]),PRODUCT(EV_DB[[#This Row],[Cost, $MSRP
CAD]],0.75))</f>
        <v>200000</v>
      </c>
      <c r="AP79" s="40">
        <f>MIN(MAX(EV_DB[[#This Row],[Federal Rebates (iMHZEV) ]]+EV_DB[[#This Row],[YT Vehicle Rebates]]),PRODUCT(EV_DB[[#This Row],[Cost, $MSRP
CAD]],0.75))</f>
        <v>200000</v>
      </c>
      <c r="AQ79" s="40">
        <f>MIN(MAX(EV_DB[[#This Row],[Federal Rebates (iMHZEV) ]],EV_DB[[#This Row],[NU Vehicle Rebates]]),PRODUCT(EV_DB[[#This Row],[Cost, $MSRP
CAD]],0.75))</f>
        <v>200000</v>
      </c>
      <c r="AR79" s="194">
        <f>MIN(MAX(EV_DB[[#This Row],[Federal Rebates (iMHZEV) ]],EV_DB[[#This Row],[NT Vehicle Rebates]]),PRODUCT(EV_DB[[#This Row],[Cost, $MSRP
CAD]],0.75))</f>
        <v>200000</v>
      </c>
    </row>
    <row r="80" spans="1:44" ht="51" customHeight="1">
      <c r="AG80" s="28"/>
    </row>
    <row r="81" spans="33:33">
      <c r="AG81" s="28"/>
    </row>
    <row r="82" spans="33:33" ht="63.75" customHeight="1">
      <c r="AG82" s="28"/>
    </row>
    <row r="83" spans="33:33">
      <c r="AG83" s="28"/>
    </row>
    <row r="84" spans="33:33" ht="51" customHeight="1">
      <c r="AG84" s="28"/>
    </row>
    <row r="86" spans="33:33" ht="51" customHeight="1"/>
    <row r="88" spans="33:33" ht="38.25" customHeight="1"/>
    <row r="90" spans="33:33" ht="51" customHeight="1"/>
    <row r="92" spans="33:33" ht="63.75" customHeight="1"/>
    <row r="94" spans="33:33" ht="51" customHeight="1"/>
    <row r="96" spans="33:33" ht="51" customHeight="1"/>
  </sheetData>
  <phoneticPr fontId="9" type="noConversion"/>
  <dataValidations count="1">
    <dataValidation type="list" allowBlank="1" showInputMessage="1" showErrorMessage="1" sqref="L1:L1048576" xr:uid="{7628142A-F68C-4EFF-85DA-E269549C8386}">
      <formula1>"Yes, No"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B9B78-398E-43FD-8EAC-BC170BD2162F}">
  <dimension ref="A1:D19"/>
  <sheetViews>
    <sheetView zoomScale="95" zoomScaleNormal="115" workbookViewId="0">
      <selection activeCell="C3" sqref="C3"/>
    </sheetView>
  </sheetViews>
  <sheetFormatPr defaultRowHeight="14.45"/>
  <cols>
    <col min="1" max="1" width="10.7109375" customWidth="1"/>
    <col min="2" max="2" width="33" customWidth="1"/>
    <col min="3" max="3" width="19.28515625" customWidth="1"/>
    <col min="4" max="4" width="17.140625" customWidth="1"/>
  </cols>
  <sheetData>
    <row r="1" spans="1:4">
      <c r="A1" t="s">
        <v>24</v>
      </c>
      <c r="B1" t="s">
        <v>575</v>
      </c>
      <c r="C1" t="s">
        <v>576</v>
      </c>
      <c r="D1" t="s">
        <v>577</v>
      </c>
    </row>
    <row r="2" spans="1:4">
      <c r="A2" t="s">
        <v>25</v>
      </c>
      <c r="B2">
        <v>0.1784</v>
      </c>
      <c r="C2">
        <v>1.3</v>
      </c>
      <c r="D2">
        <v>1.31</v>
      </c>
    </row>
    <row r="3" spans="1:4">
      <c r="A3" t="s">
        <v>578</v>
      </c>
      <c r="B3">
        <v>0.12230000000000001</v>
      </c>
      <c r="C3">
        <v>1.607</v>
      </c>
      <c r="D3">
        <v>1.667</v>
      </c>
    </row>
    <row r="4" spans="1:4">
      <c r="A4" t="s">
        <v>579</v>
      </c>
      <c r="B4">
        <v>0.13500000000000001</v>
      </c>
      <c r="C4">
        <v>1.54</v>
      </c>
      <c r="D4">
        <v>1.879</v>
      </c>
    </row>
    <row r="5" spans="1:4">
      <c r="A5" t="s">
        <v>580</v>
      </c>
      <c r="B5">
        <v>0.31859999999999999</v>
      </c>
      <c r="C5">
        <v>1.4790000000000001</v>
      </c>
      <c r="D5">
        <v>1.669</v>
      </c>
    </row>
    <row r="6" spans="1:4">
      <c r="A6" t="s">
        <v>581</v>
      </c>
      <c r="B6">
        <v>0.18659999999999999</v>
      </c>
      <c r="C6">
        <v>1.538</v>
      </c>
      <c r="D6">
        <v>1.6930000000000001</v>
      </c>
    </row>
    <row r="7" spans="1:4">
      <c r="A7" t="s">
        <v>582</v>
      </c>
      <c r="B7">
        <v>0.19089999999999999</v>
      </c>
      <c r="C7">
        <v>1.58</v>
      </c>
      <c r="D7">
        <v>1.91</v>
      </c>
    </row>
    <row r="8" spans="1:4">
      <c r="A8" t="s">
        <v>583</v>
      </c>
      <c r="B8">
        <v>0.16239999999999999</v>
      </c>
      <c r="C8">
        <v>1.57</v>
      </c>
      <c r="D8">
        <v>1.85</v>
      </c>
    </row>
    <row r="9" spans="1:4">
      <c r="A9" t="s">
        <v>584</v>
      </c>
      <c r="B9">
        <v>0.1101</v>
      </c>
      <c r="C9">
        <v>1.53</v>
      </c>
      <c r="D9">
        <v>1.6819999999999999</v>
      </c>
    </row>
    <row r="10" spans="1:4">
      <c r="A10" t="s">
        <v>585</v>
      </c>
      <c r="B10">
        <v>0.19159999999999999</v>
      </c>
      <c r="C10">
        <v>1.633</v>
      </c>
      <c r="D10">
        <v>1.9730000000000001</v>
      </c>
    </row>
    <row r="11" spans="1:4">
      <c r="A11" t="s">
        <v>586</v>
      </c>
      <c r="B11">
        <v>0.123</v>
      </c>
      <c r="C11">
        <v>1.6840000000000002</v>
      </c>
      <c r="D11">
        <v>1.9380000000000002</v>
      </c>
    </row>
    <row r="12" spans="1:4">
      <c r="A12" t="s">
        <v>587</v>
      </c>
      <c r="B12">
        <v>0.187</v>
      </c>
      <c r="C12">
        <v>1.8159999999999998</v>
      </c>
      <c r="D12">
        <v>1.849</v>
      </c>
    </row>
    <row r="13" spans="1:4">
      <c r="A13" t="s">
        <v>588</v>
      </c>
      <c r="B13">
        <v>0.35399999999999998</v>
      </c>
      <c r="C13">
        <v>1.6259999999999999</v>
      </c>
      <c r="D13">
        <v>1.7990000000000002</v>
      </c>
    </row>
    <row r="14" spans="1:4">
      <c r="A14" t="s">
        <v>589</v>
      </c>
      <c r="B14">
        <v>0.41</v>
      </c>
      <c r="C14">
        <v>1.6259999999999999</v>
      </c>
      <c r="D14">
        <v>1.7990000000000002</v>
      </c>
    </row>
    <row r="17" spans="2:4">
      <c r="B17" t="s">
        <v>590</v>
      </c>
      <c r="C17" t="s">
        <v>591</v>
      </c>
      <c r="D17" s="69" t="s">
        <v>592</v>
      </c>
    </row>
    <row r="18" spans="2:4">
      <c r="B18" s="69" t="s">
        <v>593</v>
      </c>
    </row>
    <row r="19" spans="2:4">
      <c r="B19" t="s">
        <v>594</v>
      </c>
    </row>
  </sheetData>
  <hyperlinks>
    <hyperlink ref="B18" r:id="rId1" display="https://www.hydroquebec.com/data/documents-donnees/pdf/comparison-electricity-prices.pdf" xr:uid="{96554E9B-D916-48A7-AF2D-243B6BFA719D}"/>
    <hyperlink ref="D17" r:id="rId2" display="https://www150.statcan.gc.ca/t1/tbl1/en/tv.action?pid=1810000101&amp;pickMembers%5B0%5D=2.2&amp;cubeTimeFrame.startMonth=01&amp;cubeTimeFrame.startYear=2025&amp;cubeTimeFrame.endMonth=05&amp;cubeTimeFrame.endYear=2025&amp;referencePeriods=20250101%2C20250501" xr:uid="{345242D5-E3A6-4A19-8AB8-B3D7D209C7FA}"/>
  </hyperlinks>
  <pageMargins left="0.7" right="0.7" top="0.75" bottom="0.75" header="0.3" footer="0.3"/>
  <drawing r:id="rId3"/>
  <legacyDrawing r:id="rId4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BFB5F-301F-4007-94E3-AB079383F8F3}">
  <dimension ref="A1:K34"/>
  <sheetViews>
    <sheetView topLeftCell="A16" zoomScale="83" zoomScaleNormal="90" workbookViewId="0">
      <selection activeCell="K30" sqref="K30"/>
    </sheetView>
  </sheetViews>
  <sheetFormatPr defaultRowHeight="17.45"/>
  <cols>
    <col min="1" max="1" width="39" style="28" customWidth="1"/>
    <col min="2" max="2" width="23.140625" style="28" customWidth="1"/>
    <col min="3" max="3" width="14.42578125" style="28" customWidth="1"/>
    <col min="4" max="4" width="21.5703125" style="28" customWidth="1"/>
    <col min="5" max="5" width="23.85546875" style="35" customWidth="1"/>
    <col min="6" max="6" width="11.85546875" style="28" customWidth="1"/>
    <col min="7" max="7" width="21" style="28" customWidth="1"/>
    <col min="8" max="8" width="22.5703125" style="28" bestFit="1" customWidth="1"/>
    <col min="9" max="9" width="21" style="28" customWidth="1"/>
    <col min="10" max="10" width="14.140625" style="28" customWidth="1"/>
    <col min="11" max="11" width="19.42578125" bestFit="1" customWidth="1"/>
    <col min="12" max="12" width="13" bestFit="1" customWidth="1"/>
  </cols>
  <sheetData>
    <row r="1" spans="1:11">
      <c r="A1" s="28" t="s">
        <v>595</v>
      </c>
      <c r="B1" s="28" t="s">
        <v>596</v>
      </c>
      <c r="C1" s="28" t="s">
        <v>10</v>
      </c>
      <c r="D1" s="28" t="s">
        <v>597</v>
      </c>
      <c r="E1" s="35" t="s">
        <v>598</v>
      </c>
      <c r="F1" s="28" t="s">
        <v>254</v>
      </c>
      <c r="G1" s="28" t="s">
        <v>14</v>
      </c>
      <c r="H1" s="28" t="s">
        <v>258</v>
      </c>
      <c r="I1" s="28" t="s">
        <v>599</v>
      </c>
      <c r="J1" s="28" t="s">
        <v>11</v>
      </c>
      <c r="K1" s="28" t="s">
        <v>600</v>
      </c>
    </row>
    <row r="2" spans="1:11">
      <c r="A2" s="28" t="s">
        <v>601</v>
      </c>
      <c r="B2" s="28">
        <v>2024</v>
      </c>
      <c r="C2" s="28">
        <v>3148</v>
      </c>
      <c r="D2" s="28" t="s">
        <v>602</v>
      </c>
      <c r="E2" s="35">
        <v>68580</v>
      </c>
      <c r="F2" s="28">
        <v>3</v>
      </c>
      <c r="G2" s="80" t="str" cm="1">
        <f t="array" ref="G2">_xlfn.IFS(OR(ICE_DB[[#This Row],[FHWA Class (2B - 8)]]= "2B", ICE_DB[[#This Row],[FHWA Class (2B - 8)]]=3), "Light Duty",OR(ICE_DB[[#This Row],[FHWA Class (2B - 8)]]=4,ICE_DB[[#This Row],[FHWA Class (2B - 8)]]=5,ICE_DB[[#This Row],[FHWA Class (2B - 8)]]=6),"Medium Duty",OR(ICE_DB[[#This Row],[FHWA Class (2B - 8)]]=7,ICE_DB[[#This Row],[FHWA Class (2B - 8)]]=8), "Heavy Duty")</f>
        <v>Light Duty</v>
      </c>
      <c r="H2" s="80" cm="1">
        <f t="array" ref="H2">_xlfn.IFS(ICE_DB[[#This Row],[Category]]="Light Duty",'Maintenance costs table'!$D$3, ICE_DB[[#This Row],[Category]]="Medium Duty",'Maintenance costs table'!$D$7,ICE_DB[[#This Row],[Category]]="Heavy Duty",'Maintenance costs table'!$D$5)</f>
        <v>0.35</v>
      </c>
      <c r="I2" s="28">
        <v>0.11</v>
      </c>
      <c r="J2" s="28" t="s">
        <v>603</v>
      </c>
      <c r="K2" s="28" t="s">
        <v>604</v>
      </c>
    </row>
    <row r="3" spans="1:11">
      <c r="A3" s="28" t="s">
        <v>605</v>
      </c>
      <c r="B3" s="28">
        <v>2025</v>
      </c>
      <c r="C3" s="28">
        <v>4000</v>
      </c>
      <c r="D3" s="28" t="s">
        <v>606</v>
      </c>
      <c r="E3" s="35">
        <v>71000</v>
      </c>
      <c r="F3" s="28">
        <v>3</v>
      </c>
      <c r="G3" s="80" t="str" cm="1">
        <f t="array" ref="G3">_xlfn.IFS(OR(ICE_DB[[#This Row],[FHWA Class (2B - 8)]]= "2B", ICE_DB[[#This Row],[FHWA Class (2B - 8)]]=3), "Light Duty",OR(ICE_DB[[#This Row],[FHWA Class (2B - 8)]]=4,ICE_DB[[#This Row],[FHWA Class (2B - 8)]]=5,ICE_DB[[#This Row],[FHWA Class (2B - 8)]]=6),"Medium Duty",OR(ICE_DB[[#This Row],[FHWA Class (2B - 8)]]=7,ICE_DB[[#This Row],[FHWA Class (2B - 8)]]=8), "Heavy Duty")</f>
        <v>Light Duty</v>
      </c>
      <c r="H3" s="80" cm="1">
        <f t="array" ref="H3">_xlfn.IFS(ICE_DB[[#This Row],[Category]]="Light Duty",'Maintenance costs table'!$D$3, ICE_DB[[#This Row],[Category]]="Medium Duty",'Maintenance costs table'!$D$7,ICE_DB[[#This Row],[Category]]="Heavy Duty",'Maintenance costs table'!$D$5)</f>
        <v>0.35</v>
      </c>
      <c r="I3" s="28">
        <v>0.18</v>
      </c>
      <c r="J3" s="28" t="s">
        <v>607</v>
      </c>
      <c r="K3" s="28"/>
    </row>
    <row r="4" spans="1:11">
      <c r="A4" s="96" t="s">
        <v>608</v>
      </c>
      <c r="B4" s="28">
        <v>2024</v>
      </c>
      <c r="C4" s="28">
        <v>3780</v>
      </c>
      <c r="D4" s="28" t="s">
        <v>602</v>
      </c>
      <c r="E4" s="35">
        <v>59980</v>
      </c>
      <c r="F4" s="28">
        <v>3</v>
      </c>
      <c r="G4" s="80" t="str" cm="1">
        <f t="array" ref="G4">_xlfn.IFS(OR(ICE_DB[[#This Row],[FHWA Class (2B - 8)]]= "2B", ICE_DB[[#This Row],[FHWA Class (2B - 8)]]=3), "Light Duty",OR(ICE_DB[[#This Row],[FHWA Class (2B - 8)]]=4,ICE_DB[[#This Row],[FHWA Class (2B - 8)]]=5,ICE_DB[[#This Row],[FHWA Class (2B - 8)]]=6),"Medium Duty",OR(ICE_DB[[#This Row],[FHWA Class (2B - 8)]]=7,ICE_DB[[#This Row],[FHWA Class (2B - 8)]]=8), "Heavy Duty")</f>
        <v>Light Duty</v>
      </c>
      <c r="H4" s="80" cm="1">
        <f t="array" ref="H4">_xlfn.IFS(ICE_DB[[#This Row],[Category]]="Light Duty",'Maintenance costs table'!$D$3, ICE_DB[[#This Row],[Category]]="Medium Duty",'Maintenance costs table'!$D$7,ICE_DB[[#This Row],[Category]]="Heavy Duty",'Maintenance costs table'!$D$5)</f>
        <v>0.35</v>
      </c>
      <c r="I4" s="28">
        <v>0.11</v>
      </c>
      <c r="J4" s="28" t="s">
        <v>607</v>
      </c>
      <c r="K4" s="28" t="s">
        <v>609</v>
      </c>
    </row>
    <row r="5" spans="1:11">
      <c r="A5" s="28" t="s">
        <v>610</v>
      </c>
      <c r="B5" s="28">
        <v>2024</v>
      </c>
      <c r="C5" s="28">
        <v>4210</v>
      </c>
      <c r="D5" s="28" t="s">
        <v>602</v>
      </c>
      <c r="E5" s="35">
        <v>67400</v>
      </c>
      <c r="F5" s="28">
        <v>3</v>
      </c>
      <c r="G5" s="80" t="str" cm="1">
        <f t="array" ref="G5">_xlfn.IFS(OR(ICE_DB[[#This Row],[FHWA Class (2B - 8)]]= "2B", ICE_DB[[#This Row],[FHWA Class (2B - 8)]]=3), "Light Duty",OR(ICE_DB[[#This Row],[FHWA Class (2B - 8)]]=4,ICE_DB[[#This Row],[FHWA Class (2B - 8)]]=5,ICE_DB[[#This Row],[FHWA Class (2B - 8)]]=6),"Medium Duty",OR(ICE_DB[[#This Row],[FHWA Class (2B - 8)]]=7,ICE_DB[[#This Row],[FHWA Class (2B - 8)]]=8), "Heavy Duty")</f>
        <v>Light Duty</v>
      </c>
      <c r="H5" s="80" cm="1">
        <f t="array" ref="H5">_xlfn.IFS(ICE_DB[[#This Row],[Category]]="Light Duty",'Maintenance costs table'!$D$3, ICE_DB[[#This Row],[Category]]="Medium Duty",'Maintenance costs table'!$D$7,ICE_DB[[#This Row],[Category]]="Heavy Duty",'Maintenance costs table'!$D$5)</f>
        <v>0.35</v>
      </c>
      <c r="I5" s="28">
        <v>0.11</v>
      </c>
      <c r="J5" s="28" t="s">
        <v>603</v>
      </c>
      <c r="K5" s="28" t="s">
        <v>609</v>
      </c>
    </row>
    <row r="6" spans="1:11">
      <c r="A6" s="28" t="s">
        <v>611</v>
      </c>
      <c r="B6" s="28">
        <v>2024</v>
      </c>
      <c r="C6" s="28">
        <v>15000</v>
      </c>
      <c r="D6" s="28" t="s">
        <v>612</v>
      </c>
      <c r="E6" s="35">
        <v>84723.45</v>
      </c>
      <c r="F6" s="28">
        <v>8</v>
      </c>
      <c r="G6" s="80" t="str" cm="1">
        <f t="array" ref="G6">_xlfn.IFS(OR(ICE_DB[[#This Row],[FHWA Class (2B - 8)]]= "2B", ICE_DB[[#This Row],[FHWA Class (2B - 8)]]=3), "Light Duty",OR(ICE_DB[[#This Row],[FHWA Class (2B - 8)]]=4,ICE_DB[[#This Row],[FHWA Class (2B - 8)]]=5,ICE_DB[[#This Row],[FHWA Class (2B - 8)]]=6),"Medium Duty",OR(ICE_DB[[#This Row],[FHWA Class (2B - 8)]]=7,ICE_DB[[#This Row],[FHWA Class (2B - 8)]]=8), "Heavy Duty")</f>
        <v>Heavy Duty</v>
      </c>
      <c r="H6" s="80" cm="1">
        <f t="array" ref="H6">_xlfn.IFS(ICE_DB[[#This Row],[Category]]="Light Duty",'Maintenance costs table'!$D$3, ICE_DB[[#This Row],[Category]]="Medium Duty",'Maintenance costs table'!$D$7,ICE_DB[[#This Row],[Category]]="Heavy Duty",'Maintenance costs table'!$D$5)</f>
        <v>0.63</v>
      </c>
      <c r="I6" s="28">
        <v>0.25</v>
      </c>
      <c r="J6" s="28" t="s">
        <v>607</v>
      </c>
      <c r="K6" s="28"/>
    </row>
    <row r="7" spans="1:11">
      <c r="A7" s="28" t="s">
        <v>32</v>
      </c>
      <c r="B7" s="28">
        <v>2024</v>
      </c>
      <c r="C7" s="28">
        <v>3325</v>
      </c>
      <c r="D7" s="28" t="s">
        <v>613</v>
      </c>
      <c r="E7" s="35">
        <v>54000</v>
      </c>
      <c r="F7" s="28">
        <v>3</v>
      </c>
      <c r="G7" s="80" t="str" cm="1">
        <f t="array" ref="G7">_xlfn.IFS(OR(ICE_DB[[#This Row],[FHWA Class (2B - 8)]]= "2B", ICE_DB[[#This Row],[FHWA Class (2B - 8)]]=3), "Light Duty",OR(ICE_DB[[#This Row],[FHWA Class (2B - 8)]]=4,ICE_DB[[#This Row],[FHWA Class (2B - 8)]]=5,ICE_DB[[#This Row],[FHWA Class (2B - 8)]]=6),"Medium Duty",OR(ICE_DB[[#This Row],[FHWA Class (2B - 8)]]=7,ICE_DB[[#This Row],[FHWA Class (2B - 8)]]=8), "Heavy Duty")</f>
        <v>Light Duty</v>
      </c>
      <c r="H7" s="80" cm="1">
        <f t="array" ref="H7">_xlfn.IFS(ICE_DB[[#This Row],[Category]]="Light Duty",'Maintenance costs table'!$D$3, ICE_DB[[#This Row],[Category]]="Medium Duty",'Maintenance costs table'!$D$7,ICE_DB[[#This Row],[Category]]="Heavy Duty",'Maintenance costs table'!$D$5)</f>
        <v>0.35</v>
      </c>
      <c r="I7" s="28">
        <v>0.11899999999999999</v>
      </c>
      <c r="J7" s="28" t="s">
        <v>607</v>
      </c>
      <c r="K7" s="28" t="s">
        <v>614</v>
      </c>
    </row>
    <row r="8" spans="1:11">
      <c r="A8" s="28" t="s">
        <v>615</v>
      </c>
      <c r="B8" s="28">
        <v>2025</v>
      </c>
      <c r="C8" s="28">
        <v>2270</v>
      </c>
      <c r="D8" s="28" t="s">
        <v>613</v>
      </c>
      <c r="E8" s="35">
        <v>61000</v>
      </c>
      <c r="F8" s="28">
        <v>3</v>
      </c>
      <c r="G8" s="80" t="str" cm="1">
        <f t="array" ref="G8">_xlfn.IFS(OR(ICE_DB[[#This Row],[FHWA Class (2B - 8)]]= "2B", ICE_DB[[#This Row],[FHWA Class (2B - 8)]]=3), "Light Duty",OR(ICE_DB[[#This Row],[FHWA Class (2B - 8)]]=4,ICE_DB[[#This Row],[FHWA Class (2B - 8)]]=5,ICE_DB[[#This Row],[FHWA Class (2B - 8)]]=6),"Medium Duty",OR(ICE_DB[[#This Row],[FHWA Class (2B - 8)]]=7,ICE_DB[[#This Row],[FHWA Class (2B - 8)]]=8), "Heavy Duty")</f>
        <v>Light Duty</v>
      </c>
      <c r="H8" s="80" cm="1">
        <f t="array" ref="H8">_xlfn.IFS(ICE_DB[[#This Row],[Category]]="Light Duty",'Maintenance costs table'!$D$3, ICE_DB[[#This Row],[Category]]="Medium Duty",'Maintenance costs table'!$D$7,ICE_DB[[#This Row],[Category]]="Heavy Duty",'Maintenance costs table'!$D$5)</f>
        <v>0.35</v>
      </c>
      <c r="I8" s="28">
        <v>0.13600000000000001</v>
      </c>
      <c r="J8" s="28" t="s">
        <v>607</v>
      </c>
      <c r="K8" s="28"/>
    </row>
    <row r="9" spans="1:11">
      <c r="A9" s="28" t="s">
        <v>616</v>
      </c>
      <c r="B9" s="28">
        <v>2025</v>
      </c>
      <c r="C9" s="28">
        <v>3496</v>
      </c>
      <c r="D9" s="28" t="s">
        <v>617</v>
      </c>
      <c r="E9" s="35">
        <v>56033</v>
      </c>
      <c r="F9" s="28">
        <v>3</v>
      </c>
      <c r="G9" s="80" t="str" cm="1">
        <f t="array" ref="G9">_xlfn.IFS(OR(ICE_DB[[#This Row],[FHWA Class (2B - 8)]]= "2B", ICE_DB[[#This Row],[FHWA Class (2B - 8)]]=3), "Light Duty",OR(ICE_DB[[#This Row],[FHWA Class (2B - 8)]]=4,ICE_DB[[#This Row],[FHWA Class (2B - 8)]]=5,ICE_DB[[#This Row],[FHWA Class (2B - 8)]]=6),"Medium Duty",OR(ICE_DB[[#This Row],[FHWA Class (2B - 8)]]=7,ICE_DB[[#This Row],[FHWA Class (2B - 8)]]=8), "Heavy Duty")</f>
        <v>Light Duty</v>
      </c>
      <c r="H9" s="80" cm="1">
        <f t="array" ref="H9">_xlfn.IFS(ICE_DB[[#This Row],[Category]]="Light Duty",'Maintenance costs table'!$D$3, ICE_DB[[#This Row],[Category]]="Medium Duty",'Maintenance costs table'!$D$7,ICE_DB[[#This Row],[Category]]="Heavy Duty",'Maintenance costs table'!$D$5)</f>
        <v>0.35</v>
      </c>
      <c r="I9" s="28">
        <v>0.12</v>
      </c>
      <c r="J9" s="28" t="s">
        <v>607</v>
      </c>
      <c r="K9" s="28" t="s">
        <v>618</v>
      </c>
    </row>
    <row r="10" spans="1:11">
      <c r="A10" s="28" t="s">
        <v>619</v>
      </c>
      <c r="B10" s="28">
        <v>2025</v>
      </c>
      <c r="C10" s="182" t="s">
        <v>620</v>
      </c>
      <c r="D10" s="28" t="s">
        <v>621</v>
      </c>
      <c r="E10" s="35">
        <v>107000</v>
      </c>
      <c r="F10" s="28">
        <v>4</v>
      </c>
      <c r="G10" s="80" t="str" cm="1">
        <f t="array" ref="G10">_xlfn.IFS(OR(ICE_DB[[#This Row],[FHWA Class (2B - 8)]]= "2B", ICE_DB[[#This Row],[FHWA Class (2B - 8)]]=3), "Light Duty",OR(ICE_DB[[#This Row],[FHWA Class (2B - 8)]]=4,ICE_DB[[#This Row],[FHWA Class (2B - 8)]]=5,ICE_DB[[#This Row],[FHWA Class (2B - 8)]]=6),"Medium Duty",OR(ICE_DB[[#This Row],[FHWA Class (2B - 8)]]=7,ICE_DB[[#This Row],[FHWA Class (2B - 8)]]=8), "Heavy Duty")</f>
        <v>Medium Duty</v>
      </c>
      <c r="H10" s="80" cm="1">
        <f t="array" ref="H10">_xlfn.IFS(ICE_DB[[#This Row],[Category]]="Light Duty",'Maintenance costs table'!$D$3, ICE_DB[[#This Row],[Category]]="Medium Duty",'Maintenance costs table'!$D$7,ICE_DB[[#This Row],[Category]]="Heavy Duty",'Maintenance costs table'!$D$5)</f>
        <v>0.38</v>
      </c>
      <c r="I10" s="28">
        <v>0.18</v>
      </c>
      <c r="J10" s="28" t="s">
        <v>607</v>
      </c>
      <c r="K10" s="28"/>
    </row>
    <row r="11" spans="1:11">
      <c r="A11" s="28" t="s">
        <v>622</v>
      </c>
      <c r="B11" s="28">
        <v>2025</v>
      </c>
      <c r="C11" s="182">
        <v>4820</v>
      </c>
      <c r="D11" s="28" t="s">
        <v>317</v>
      </c>
      <c r="E11" s="35">
        <v>80000</v>
      </c>
      <c r="F11" s="28">
        <v>2</v>
      </c>
      <c r="G11" s="80" t="s">
        <v>15</v>
      </c>
      <c r="H11" s="80">
        <v>0.18</v>
      </c>
      <c r="I11" s="28">
        <v>0.12</v>
      </c>
      <c r="J11" s="28" t="s">
        <v>607</v>
      </c>
      <c r="K11" s="28"/>
    </row>
    <row r="12" spans="1:11">
      <c r="A12" s="28" t="s">
        <v>623</v>
      </c>
      <c r="B12" s="28">
        <v>2025</v>
      </c>
      <c r="C12" s="28">
        <v>20000</v>
      </c>
      <c r="D12" s="28" t="s">
        <v>612</v>
      </c>
      <c r="E12" s="35">
        <v>200000</v>
      </c>
      <c r="F12" s="28">
        <v>8</v>
      </c>
      <c r="G12" s="80" t="str" cm="1">
        <f t="array" ref="G12">_xlfn.IFS(OR(ICE_DB[[#This Row],[FHWA Class (2B - 8)]]= "2B", ICE_DB[[#This Row],[FHWA Class (2B - 8)]]=3), "Light Duty",OR(ICE_DB[[#This Row],[FHWA Class (2B - 8)]]=4,ICE_DB[[#This Row],[FHWA Class (2B - 8)]]=5,ICE_DB[[#This Row],[FHWA Class (2B - 8)]]=6),"Medium Duty",OR(ICE_DB[[#This Row],[FHWA Class (2B - 8)]]=7,ICE_DB[[#This Row],[FHWA Class (2B - 8)]]=8), "Heavy Duty")</f>
        <v>Heavy Duty</v>
      </c>
      <c r="H12" s="80" cm="1">
        <f t="array" ref="H12">_xlfn.IFS(ICE_DB[[#This Row],[Category]]="Light Duty",'Maintenance costs table'!$D$3, ICE_DB[[#This Row],[Category]]="Medium Duty",'Maintenance costs table'!$D$7,ICE_DB[[#This Row],[Category]]="Heavy Duty",'Maintenance costs table'!$D$5)</f>
        <v>0.63</v>
      </c>
      <c r="I12" s="28">
        <v>0.25</v>
      </c>
      <c r="J12" s="28" t="s">
        <v>603</v>
      </c>
      <c r="K12" s="28"/>
    </row>
    <row r="13" spans="1:11">
      <c r="A13" s="28" t="s">
        <v>624</v>
      </c>
      <c r="B13" s="28">
        <v>2024</v>
      </c>
      <c r="C13" s="183">
        <v>8980</v>
      </c>
      <c r="D13" s="28" t="s">
        <v>625</v>
      </c>
      <c r="E13" s="35">
        <v>54130</v>
      </c>
      <c r="F13" s="28">
        <v>4</v>
      </c>
      <c r="G13" s="80" t="str" cm="1">
        <f t="array" ref="G13">_xlfn.IFS(OR(ICE_DB[[#This Row],[FHWA Class (2B - 8)]]= "2B", ICE_DB[[#This Row],[FHWA Class (2B - 8)]]=3), "Light Duty",OR(ICE_DB[[#This Row],[FHWA Class (2B - 8)]]=4,ICE_DB[[#This Row],[FHWA Class (2B - 8)]]=5,ICE_DB[[#This Row],[FHWA Class (2B - 8)]]=6),"Medium Duty",OR(ICE_DB[[#This Row],[FHWA Class (2B - 8)]]=7,ICE_DB[[#This Row],[FHWA Class (2B - 8)]]=8), "Heavy Duty")</f>
        <v>Medium Duty</v>
      </c>
      <c r="H13" s="80" cm="1">
        <f t="array" ref="H13">_xlfn.IFS(ICE_DB[[#This Row],[Category]]="Light Duty",'Maintenance costs table'!$D$3, ICE_DB[[#This Row],[Category]]="Medium Duty",'Maintenance costs table'!$D$7,ICE_DB[[#This Row],[Category]]="Heavy Duty",'Maintenance costs table'!$D$5)</f>
        <v>0.38</v>
      </c>
      <c r="I13" s="28">
        <v>0.2</v>
      </c>
      <c r="J13" s="28" t="s">
        <v>607</v>
      </c>
      <c r="K13" s="28"/>
    </row>
    <row r="14" spans="1:11">
      <c r="A14" s="28" t="s">
        <v>626</v>
      </c>
      <c r="B14" s="28">
        <v>2024</v>
      </c>
      <c r="C14" s="183">
        <v>12000</v>
      </c>
      <c r="D14" s="28" t="s">
        <v>627</v>
      </c>
      <c r="E14" s="35">
        <v>120000</v>
      </c>
      <c r="F14" s="28">
        <v>6</v>
      </c>
      <c r="G14" s="80" t="str" cm="1">
        <f t="array" ref="G14">_xlfn.IFS(OR(ICE_DB[[#This Row],[FHWA Class (2B - 8)]]= "2B", ICE_DB[[#This Row],[FHWA Class (2B - 8)]]=3), "Light Duty",OR(ICE_DB[[#This Row],[FHWA Class (2B - 8)]]=4,ICE_DB[[#This Row],[FHWA Class (2B - 8)]]=5,ICE_DB[[#This Row],[FHWA Class (2B - 8)]]=6),"Medium Duty",OR(ICE_DB[[#This Row],[FHWA Class (2B - 8)]]=7,ICE_DB[[#This Row],[FHWA Class (2B - 8)]]=8), "Heavy Duty")</f>
        <v>Medium Duty</v>
      </c>
      <c r="H14" s="80" cm="1">
        <f t="array" ref="H14">_xlfn.IFS(ICE_DB[[#This Row],[Category]]="Light Duty",'Maintenance costs table'!$D$3, ICE_DB[[#This Row],[Category]]="Medium Duty",'Maintenance costs table'!$D$7,ICE_DB[[#This Row],[Category]]="Heavy Duty",'Maintenance costs table'!$D$5)</f>
        <v>0.38</v>
      </c>
      <c r="I14" s="28">
        <v>0.2</v>
      </c>
      <c r="J14" s="28" t="s">
        <v>603</v>
      </c>
      <c r="K14" s="28"/>
    </row>
    <row r="15" spans="1:11">
      <c r="A15" s="28" t="s">
        <v>626</v>
      </c>
      <c r="B15" s="28">
        <v>2024</v>
      </c>
      <c r="C15" s="183">
        <v>16000</v>
      </c>
      <c r="D15" s="28" t="s">
        <v>627</v>
      </c>
      <c r="E15" s="35">
        <v>170000</v>
      </c>
      <c r="F15" s="28">
        <v>7</v>
      </c>
      <c r="G15" s="80" t="str" cm="1">
        <f t="array" ref="G15">_xlfn.IFS(OR(ICE_DB[[#This Row],[FHWA Class (2B - 8)]]= "2B", ICE_DB[[#This Row],[FHWA Class (2B - 8)]]=3), "Light Duty",OR(ICE_DB[[#This Row],[FHWA Class (2B - 8)]]=4,ICE_DB[[#This Row],[FHWA Class (2B - 8)]]=5,ICE_DB[[#This Row],[FHWA Class (2B - 8)]]=6),"Medium Duty",OR(ICE_DB[[#This Row],[FHWA Class (2B - 8)]]=7,ICE_DB[[#This Row],[FHWA Class (2B - 8)]]=8), "Heavy Duty")</f>
        <v>Heavy Duty</v>
      </c>
      <c r="H15" s="80" cm="1">
        <f t="array" ref="H15">_xlfn.IFS(ICE_DB[[#This Row],[Category]]="Light Duty",'Maintenance costs table'!$D$3, ICE_DB[[#This Row],[Category]]="Medium Duty",'Maintenance costs table'!$D$7,ICE_DB[[#This Row],[Category]]="Heavy Duty",'Maintenance costs table'!$D$5)</f>
        <v>0.63</v>
      </c>
      <c r="I15" s="28">
        <v>0.2</v>
      </c>
      <c r="J15" s="28" t="s">
        <v>603</v>
      </c>
      <c r="K15" s="28"/>
    </row>
    <row r="16" spans="1:11">
      <c r="A16" s="28" t="s">
        <v>628</v>
      </c>
      <c r="B16" s="28">
        <v>2024</v>
      </c>
      <c r="C16" s="28">
        <v>10000</v>
      </c>
      <c r="D16" s="28" t="s">
        <v>629</v>
      </c>
      <c r="E16" s="35">
        <v>46000</v>
      </c>
      <c r="F16" s="28">
        <v>5</v>
      </c>
      <c r="G16" s="80" t="str" cm="1">
        <f t="array" ref="G16">_xlfn.IFS(OR(ICE_DB[[#This Row],[FHWA Class (2B - 8)]]= "2B", ICE_DB[[#This Row],[FHWA Class (2B - 8)]]=3), "Light Duty",OR(ICE_DB[[#This Row],[FHWA Class (2B - 8)]]=4,ICE_DB[[#This Row],[FHWA Class (2B - 8)]]=5,ICE_DB[[#This Row],[FHWA Class (2B - 8)]]=6),"Medium Duty",OR(ICE_DB[[#This Row],[FHWA Class (2B - 8)]]=7,ICE_DB[[#This Row],[FHWA Class (2B - 8)]]=8), "Heavy Duty")</f>
        <v>Medium Duty</v>
      </c>
      <c r="H16" s="80" cm="1">
        <f t="array" ref="H16">_xlfn.IFS(ICE_DB[[#This Row],[Category]]="Light Duty",'Maintenance costs table'!$D$3, ICE_DB[[#This Row],[Category]]="Medium Duty",'Maintenance costs table'!$D$7,ICE_DB[[#This Row],[Category]]="Heavy Duty",'Maintenance costs table'!$D$5)</f>
        <v>0.38</v>
      </c>
      <c r="I16" s="28">
        <v>0.18</v>
      </c>
      <c r="J16" s="28" t="s">
        <v>607</v>
      </c>
      <c r="K16" s="28"/>
    </row>
    <row r="17" spans="1:11">
      <c r="A17" s="28" t="s">
        <v>630</v>
      </c>
      <c r="B17" s="28">
        <v>2025</v>
      </c>
      <c r="C17" s="28">
        <v>19000</v>
      </c>
      <c r="D17" s="28" t="s">
        <v>629</v>
      </c>
      <c r="E17" s="35">
        <v>120000</v>
      </c>
      <c r="F17" s="28">
        <v>6</v>
      </c>
      <c r="G17" s="80" t="str" cm="1">
        <f t="array" ref="G17">_xlfn.IFS(OR(ICE_DB[[#This Row],[FHWA Class (2B - 8)]]= "2B", ICE_DB[[#This Row],[FHWA Class (2B - 8)]]=3), "Light Duty",OR(ICE_DB[[#This Row],[FHWA Class (2B - 8)]]=4,ICE_DB[[#This Row],[FHWA Class (2B - 8)]]=5,ICE_DB[[#This Row],[FHWA Class (2B - 8)]]=6),"Medium Duty",OR(ICE_DB[[#This Row],[FHWA Class (2B - 8)]]=7,ICE_DB[[#This Row],[FHWA Class (2B - 8)]]=8), "Heavy Duty")</f>
        <v>Medium Duty</v>
      </c>
      <c r="H17" s="80" cm="1">
        <f t="array" ref="H17">_xlfn.IFS(ICE_DB[[#This Row],[Category]]="Light Duty",'Maintenance costs table'!$D$3, ICE_DB[[#This Row],[Category]]="Medium Duty",'Maintenance costs table'!$D$7,ICE_DB[[#This Row],[Category]]="Heavy Duty",'Maintenance costs table'!$D$5)</f>
        <v>0.38</v>
      </c>
      <c r="I17" s="28">
        <v>0.17</v>
      </c>
      <c r="J17" s="28" t="s">
        <v>607</v>
      </c>
      <c r="K17" s="28"/>
    </row>
    <row r="18" spans="1:11">
      <c r="A18" s="28" t="s">
        <v>631</v>
      </c>
      <c r="B18" s="28">
        <v>2024</v>
      </c>
      <c r="C18" s="183">
        <v>8800</v>
      </c>
      <c r="D18" s="28" t="s">
        <v>632</v>
      </c>
      <c r="E18" s="35">
        <v>60000</v>
      </c>
      <c r="F18" s="28">
        <v>3</v>
      </c>
      <c r="G18" s="80" t="str" cm="1">
        <f t="array" ref="G18">_xlfn.IFS(OR(ICE_DB[[#This Row],[FHWA Class (2B - 8)]]= "2B", ICE_DB[[#This Row],[FHWA Class (2B - 8)]]=3), "Light Duty",OR(ICE_DB[[#This Row],[FHWA Class (2B - 8)]]=4,ICE_DB[[#This Row],[FHWA Class (2B - 8)]]=5,ICE_DB[[#This Row],[FHWA Class (2B - 8)]]=6),"Medium Duty",OR(ICE_DB[[#This Row],[FHWA Class (2B - 8)]]=7,ICE_DB[[#This Row],[FHWA Class (2B - 8)]]=8), "Heavy Duty")</f>
        <v>Light Duty</v>
      </c>
      <c r="H18" s="80" cm="1">
        <f t="array" ref="H18">_xlfn.IFS(ICE_DB[[#This Row],[Category]]="Light Duty",'Maintenance costs table'!$D$3, ICE_DB[[#This Row],[Category]]="Medium Duty",'Maintenance costs table'!$D$7,ICE_DB[[#This Row],[Category]]="Heavy Duty",'Maintenance costs table'!$D$5)</f>
        <v>0.35</v>
      </c>
      <c r="I18" s="28">
        <v>0.15</v>
      </c>
      <c r="J18" s="28" t="s">
        <v>607</v>
      </c>
      <c r="K18" s="28"/>
    </row>
    <row r="19" spans="1:11">
      <c r="A19" s="28" t="s">
        <v>633</v>
      </c>
      <c r="B19" s="28">
        <v>2024</v>
      </c>
      <c r="C19" s="183">
        <v>25500</v>
      </c>
      <c r="D19" s="28" t="s">
        <v>476</v>
      </c>
      <c r="E19" s="35">
        <v>400000</v>
      </c>
      <c r="F19" s="28">
        <v>8</v>
      </c>
      <c r="G19" s="80" t="str" cm="1">
        <f t="array" ref="G19">_xlfn.IFS(OR(ICE_DB[[#This Row],[FHWA Class (2B - 8)]]= "2B", ICE_DB[[#This Row],[FHWA Class (2B - 8)]]=3), "Light Duty",OR(ICE_DB[[#This Row],[FHWA Class (2B - 8)]]=4,ICE_DB[[#This Row],[FHWA Class (2B - 8)]]=5,ICE_DB[[#This Row],[FHWA Class (2B - 8)]]=6),"Medium Duty",OR(ICE_DB[[#This Row],[FHWA Class (2B - 8)]]=7,ICE_DB[[#This Row],[FHWA Class (2B - 8)]]=8), "Heavy Duty")</f>
        <v>Heavy Duty</v>
      </c>
      <c r="H19" s="80" cm="1">
        <f t="array" ref="H19">_xlfn.IFS(ICE_DB[[#This Row],[Category]]="Light Duty",'Maintenance costs table'!$D$3, ICE_DB[[#This Row],[Category]]="Medium Duty",'Maintenance costs table'!$D$7,ICE_DB[[#This Row],[Category]]="Heavy Duty",'Maintenance costs table'!$D$5)</f>
        <v>0.63</v>
      </c>
      <c r="I19" s="28">
        <v>0.25</v>
      </c>
      <c r="J19" s="28" t="s">
        <v>603</v>
      </c>
      <c r="K19" s="28"/>
    </row>
    <row r="20" spans="1:11">
      <c r="A20" s="28" t="s">
        <v>634</v>
      </c>
      <c r="B20" s="28">
        <v>2024</v>
      </c>
      <c r="C20" s="28">
        <v>50000</v>
      </c>
      <c r="D20" s="28" t="s">
        <v>476</v>
      </c>
      <c r="E20" s="35">
        <v>410000</v>
      </c>
      <c r="F20" s="28">
        <v>8</v>
      </c>
      <c r="G20" s="80" t="str" cm="1">
        <f t="array" ref="G20">_xlfn.IFS(OR(ICE_DB[[#This Row],[FHWA Class (2B - 8)]]= "2B", ICE_DB[[#This Row],[FHWA Class (2B - 8)]]=3), "Light Duty",OR(ICE_DB[[#This Row],[FHWA Class (2B - 8)]]=4,ICE_DB[[#This Row],[FHWA Class (2B - 8)]]=5,ICE_DB[[#This Row],[FHWA Class (2B - 8)]]=6),"Medium Duty",OR(ICE_DB[[#This Row],[FHWA Class (2B - 8)]]=7,ICE_DB[[#This Row],[FHWA Class (2B - 8)]]=8), "Heavy Duty")</f>
        <v>Heavy Duty</v>
      </c>
      <c r="H20" s="80" cm="1">
        <f t="array" ref="H20">_xlfn.IFS(ICE_DB[[#This Row],[Category]]="Light Duty",'Maintenance costs table'!$D$3, ICE_DB[[#This Row],[Category]]="Medium Duty",'Maintenance costs table'!$D$7,ICE_DB[[#This Row],[Category]]="Heavy Duty",'Maintenance costs table'!$D$5)</f>
        <v>0.63</v>
      </c>
      <c r="I20" s="28">
        <v>0.25</v>
      </c>
      <c r="J20" s="28" t="s">
        <v>603</v>
      </c>
      <c r="K20" s="28"/>
    </row>
    <row r="21" spans="1:11">
      <c r="A21" s="28" t="s">
        <v>635</v>
      </c>
      <c r="B21" s="28">
        <v>2024</v>
      </c>
      <c r="C21" s="28">
        <v>40000</v>
      </c>
      <c r="D21" s="28" t="s">
        <v>476</v>
      </c>
      <c r="E21" s="35">
        <v>430000</v>
      </c>
      <c r="F21" s="28">
        <v>8</v>
      </c>
      <c r="G21" s="80" t="str" cm="1">
        <f t="array" ref="G21">_xlfn.IFS(OR(ICE_DB[[#This Row],[FHWA Class (2B - 8)]]= "2B", ICE_DB[[#This Row],[FHWA Class (2B - 8)]]=3), "Light Duty",OR(ICE_DB[[#This Row],[FHWA Class (2B - 8)]]=4,ICE_DB[[#This Row],[FHWA Class (2B - 8)]]=5,ICE_DB[[#This Row],[FHWA Class (2B - 8)]]=6),"Medium Duty",OR(ICE_DB[[#This Row],[FHWA Class (2B - 8)]]=7,ICE_DB[[#This Row],[FHWA Class (2B - 8)]]=8), "Heavy Duty")</f>
        <v>Heavy Duty</v>
      </c>
      <c r="H21" s="80" cm="1">
        <f t="array" ref="H21">_xlfn.IFS(ICE_DB[[#This Row],[Category]]="Light Duty",'Maintenance costs table'!$D$3, ICE_DB[[#This Row],[Category]]="Medium Duty",'Maintenance costs table'!$D$7,ICE_DB[[#This Row],[Category]]="Heavy Duty",'Maintenance costs table'!$D$5)</f>
        <v>0.63</v>
      </c>
      <c r="I21" s="28">
        <v>0.25</v>
      </c>
      <c r="J21" s="28" t="s">
        <v>603</v>
      </c>
      <c r="K21" s="28"/>
    </row>
    <row r="22" spans="1:11">
      <c r="A22" s="28" t="s">
        <v>636</v>
      </c>
      <c r="B22" s="28">
        <v>2025</v>
      </c>
      <c r="C22" s="28">
        <v>12850</v>
      </c>
      <c r="D22" s="28" t="s">
        <v>637</v>
      </c>
      <c r="E22" s="35">
        <v>106518</v>
      </c>
      <c r="F22" s="28">
        <v>5</v>
      </c>
      <c r="G22" s="80" t="str" cm="1">
        <f t="array" ref="G22">_xlfn.IFS(OR(ICE_DB[[#This Row],[FHWA Class (2B - 8)]]= "2B", ICE_DB[[#This Row],[FHWA Class (2B - 8)]]=3), "Light Duty",OR(ICE_DB[[#This Row],[FHWA Class (2B - 8)]]=4,ICE_DB[[#This Row],[FHWA Class (2B - 8)]]=5,ICE_DB[[#This Row],[FHWA Class (2B - 8)]]=6),"Medium Duty",OR(ICE_DB[[#This Row],[FHWA Class (2B - 8)]]=7,ICE_DB[[#This Row],[FHWA Class (2B - 8)]]=8), "Heavy Duty")</f>
        <v>Medium Duty</v>
      </c>
      <c r="H22" s="80" cm="1">
        <f t="array" ref="H22">_xlfn.IFS(ICE_DB[[#This Row],[Category]]="Light Duty",'Maintenance costs table'!$D$3, ICE_DB[[#This Row],[Category]]="Medium Duty",'Maintenance costs table'!$D$7,ICE_DB[[#This Row],[Category]]="Heavy Duty",'Maintenance costs table'!$D$5)</f>
        <v>0.38</v>
      </c>
      <c r="I22" s="28">
        <v>0.16</v>
      </c>
      <c r="J22" s="28" t="s">
        <v>603</v>
      </c>
      <c r="K22" s="28"/>
    </row>
    <row r="23" spans="1:11">
      <c r="A23" s="28" t="s">
        <v>638</v>
      </c>
      <c r="B23" s="28">
        <v>2025</v>
      </c>
      <c r="C23" s="28">
        <v>12850</v>
      </c>
      <c r="D23" s="28" t="s">
        <v>637</v>
      </c>
      <c r="E23" s="35">
        <v>121776</v>
      </c>
      <c r="F23" s="28">
        <v>5</v>
      </c>
      <c r="G23" s="80" t="str" cm="1">
        <f t="array" ref="G23">_xlfn.IFS(OR(ICE_DB[[#This Row],[FHWA Class (2B - 8)]]= "2B", ICE_DB[[#This Row],[FHWA Class (2B - 8)]]=3), "Light Duty",OR(ICE_DB[[#This Row],[FHWA Class (2B - 8)]]=4,ICE_DB[[#This Row],[FHWA Class (2B - 8)]]=5,ICE_DB[[#This Row],[FHWA Class (2B - 8)]]=6),"Medium Duty",OR(ICE_DB[[#This Row],[FHWA Class (2B - 8)]]=7,ICE_DB[[#This Row],[FHWA Class (2B - 8)]]=8), "Heavy Duty")</f>
        <v>Medium Duty</v>
      </c>
      <c r="H23" s="80" cm="1">
        <f t="array" ref="H23">_xlfn.IFS(ICE_DB[[#This Row],[Category]]="Light Duty",'Maintenance costs table'!$D$3, ICE_DB[[#This Row],[Category]]="Medium Duty",'Maintenance costs table'!$D$7,ICE_DB[[#This Row],[Category]]="Heavy Duty",'Maintenance costs table'!$D$5)</f>
        <v>0.38</v>
      </c>
      <c r="I23" s="28">
        <v>0.18</v>
      </c>
      <c r="J23" s="28" t="s">
        <v>603</v>
      </c>
      <c r="K23" s="28"/>
    </row>
    <row r="24" spans="1:11">
      <c r="A24" s="28" t="s">
        <v>639</v>
      </c>
      <c r="B24" s="28">
        <v>2025</v>
      </c>
      <c r="C24" s="28">
        <v>12850</v>
      </c>
      <c r="D24" s="28" t="s">
        <v>637</v>
      </c>
      <c r="E24" s="35">
        <v>120385</v>
      </c>
      <c r="F24" s="28">
        <v>5</v>
      </c>
      <c r="G24" s="80" t="str" cm="1">
        <f t="array" ref="G24">_xlfn.IFS(OR(ICE_DB[[#This Row],[FHWA Class (2B - 8)]]= "2B", ICE_DB[[#This Row],[FHWA Class (2B - 8)]]=3), "Light Duty",OR(ICE_DB[[#This Row],[FHWA Class (2B - 8)]]=4,ICE_DB[[#This Row],[FHWA Class (2B - 8)]]=5,ICE_DB[[#This Row],[FHWA Class (2B - 8)]]=6),"Medium Duty",OR(ICE_DB[[#This Row],[FHWA Class (2B - 8)]]=7,ICE_DB[[#This Row],[FHWA Class (2B - 8)]]=8), "Heavy Duty")</f>
        <v>Medium Duty</v>
      </c>
      <c r="H24" s="80" cm="1">
        <f t="array" ref="H24">_xlfn.IFS(ICE_DB[[#This Row],[Category]]="Light Duty",'Maintenance costs table'!$D$3, ICE_DB[[#This Row],[Category]]="Medium Duty",'Maintenance costs table'!$D$7,ICE_DB[[#This Row],[Category]]="Heavy Duty",'Maintenance costs table'!$D$5)</f>
        <v>0.38</v>
      </c>
      <c r="I24" s="28">
        <v>0.18</v>
      </c>
      <c r="J24" s="28" t="s">
        <v>603</v>
      </c>
      <c r="K24" s="28"/>
    </row>
    <row r="25" spans="1:11">
      <c r="A25" s="28" t="s">
        <v>640</v>
      </c>
      <c r="B25" s="28">
        <v>2025</v>
      </c>
      <c r="C25" s="28">
        <v>12500</v>
      </c>
      <c r="D25" s="28" t="s">
        <v>637</v>
      </c>
      <c r="E25" s="35">
        <v>132626</v>
      </c>
      <c r="F25" s="28">
        <v>5</v>
      </c>
      <c r="G25" s="80" t="str" cm="1">
        <f t="array" ref="G25">_xlfn.IFS(OR(ICE_DB[[#This Row],[FHWA Class (2B - 8)]]= "2B", ICE_DB[[#This Row],[FHWA Class (2B - 8)]]=3), "Light Duty",OR(ICE_DB[[#This Row],[FHWA Class (2B - 8)]]=4,ICE_DB[[#This Row],[FHWA Class (2B - 8)]]=5,ICE_DB[[#This Row],[FHWA Class (2B - 8)]]=6),"Medium Duty",OR(ICE_DB[[#This Row],[FHWA Class (2B - 8)]]=7,ICE_DB[[#This Row],[FHWA Class (2B - 8)]]=8), "Heavy Duty")</f>
        <v>Medium Duty</v>
      </c>
      <c r="H25" s="80" cm="1">
        <f t="array" ref="H25">_xlfn.IFS(ICE_DB[[#This Row],[Category]]="Light Duty",'Maintenance costs table'!$D$3, ICE_DB[[#This Row],[Category]]="Medium Duty",'Maintenance costs table'!$D$7,ICE_DB[[#This Row],[Category]]="Heavy Duty",'Maintenance costs table'!$D$5)</f>
        <v>0.38</v>
      </c>
      <c r="I25" s="28">
        <v>0.18</v>
      </c>
      <c r="J25" s="28" t="s">
        <v>603</v>
      </c>
      <c r="K25" s="28"/>
    </row>
    <row r="26" spans="1:11">
      <c r="A26" s="28" t="s">
        <v>641</v>
      </c>
      <c r="B26" s="28">
        <v>2026</v>
      </c>
      <c r="C26" s="28">
        <v>23000</v>
      </c>
      <c r="D26" s="28" t="s">
        <v>637</v>
      </c>
      <c r="E26" s="35">
        <v>135000</v>
      </c>
      <c r="F26" s="28">
        <v>7</v>
      </c>
      <c r="G26" s="80" t="str" cm="1">
        <f t="array" ref="G26">_xlfn.IFS(OR(ICE_DB[[#This Row],[FHWA Class (2B - 8)]]= "2B", ICE_DB[[#This Row],[FHWA Class (2B - 8)]]=3), "Light Duty",OR(ICE_DB[[#This Row],[FHWA Class (2B - 8)]]=4,ICE_DB[[#This Row],[FHWA Class (2B - 8)]]=5,ICE_DB[[#This Row],[FHWA Class (2B - 8)]]=6),"Medium Duty",OR(ICE_DB[[#This Row],[FHWA Class (2B - 8)]]=7,ICE_DB[[#This Row],[FHWA Class (2B - 8)]]=8), "Heavy Duty")</f>
        <v>Heavy Duty</v>
      </c>
      <c r="H26" s="80" cm="1">
        <f t="array" ref="H26">_xlfn.IFS(ICE_DB[[#This Row],[Category]]="Light Duty",'Maintenance costs table'!$D$3, ICE_DB[[#This Row],[Category]]="Medium Duty",'Maintenance costs table'!$D$7,ICE_DB[[#This Row],[Category]]="Heavy Duty",'Maintenance costs table'!$D$5)</f>
        <v>0.63</v>
      </c>
      <c r="I26" s="28">
        <v>0.28000000000000003</v>
      </c>
      <c r="J26" s="28" t="s">
        <v>603</v>
      </c>
      <c r="K26" s="28"/>
    </row>
    <row r="27" spans="1:11">
      <c r="A27" s="28" t="s">
        <v>642</v>
      </c>
      <c r="B27" s="28">
        <v>2026</v>
      </c>
      <c r="C27" s="28">
        <v>9000</v>
      </c>
      <c r="D27" s="218" t="s">
        <v>643</v>
      </c>
      <c r="E27" s="35">
        <v>127500</v>
      </c>
      <c r="F27" s="28">
        <v>6</v>
      </c>
      <c r="G27" s="80" t="str" cm="1">
        <f t="array" ref="G27">_xlfn.IFS(OR(ICE_DB[[#This Row],[FHWA Class (2B - 8)]]= "2B", ICE_DB[[#This Row],[FHWA Class (2B - 8)]]=3), "Light Duty",OR(ICE_DB[[#This Row],[FHWA Class (2B - 8)]]=4,ICE_DB[[#This Row],[FHWA Class (2B - 8)]]=5,ICE_DB[[#This Row],[FHWA Class (2B - 8)]]=6),"Medium Duty",OR(ICE_DB[[#This Row],[FHWA Class (2B - 8)]]=7,ICE_DB[[#This Row],[FHWA Class (2B - 8)]]=8), "Heavy Duty")</f>
        <v>Medium Duty</v>
      </c>
      <c r="H27" s="80" cm="1">
        <f t="array" ref="H27">_xlfn.IFS(ICE_DB[[#This Row],[Category]]="Light Duty",'Maintenance costs table'!$D$3, ICE_DB[[#This Row],[Category]]="Medium Duty",'Maintenance costs table'!$D$7,ICE_DB[[#This Row],[Category]]="Heavy Duty",'Maintenance costs table'!$D$5)</f>
        <v>0.38</v>
      </c>
      <c r="I27" s="28">
        <v>0.4</v>
      </c>
      <c r="J27" s="28" t="s">
        <v>603</v>
      </c>
      <c r="K27" s="28"/>
    </row>
    <row r="28" spans="1:11">
      <c r="A28" s="28" t="s">
        <v>644</v>
      </c>
      <c r="B28" s="28">
        <v>2025</v>
      </c>
      <c r="C28" s="28">
        <v>1013</v>
      </c>
      <c r="D28" s="28" t="s">
        <v>645</v>
      </c>
      <c r="E28" s="35">
        <v>36954</v>
      </c>
      <c r="F28" s="28" t="s">
        <v>295</v>
      </c>
      <c r="G28" s="80" t="str" cm="1">
        <f t="array" ref="G28">_xlfn.IFS(OR(ICE_DB[[#This Row],[FHWA Class (2B - 8)]]= "2B", ICE_DB[[#This Row],[FHWA Class (2B - 8)]]=3), "Light Duty",OR(ICE_DB[[#This Row],[FHWA Class (2B - 8)]]=4,ICE_DB[[#This Row],[FHWA Class (2B - 8)]]=5,ICE_DB[[#This Row],[FHWA Class (2B - 8)]]=6),"Medium Duty",OR(ICE_DB[[#This Row],[FHWA Class (2B - 8)]]=7,ICE_DB[[#This Row],[FHWA Class (2B - 8)]]=8), "Heavy Duty")</f>
        <v>Light Duty</v>
      </c>
      <c r="H28" s="80" cm="1">
        <f t="array" ref="H28">_xlfn.IFS(ICE_DB[[#This Row],[Category]]="Light Duty",'Maintenance costs table'!$D$3, ICE_DB[[#This Row],[Category]]="Medium Duty",'Maintenance costs table'!$D$7,ICE_DB[[#This Row],[Category]]="Heavy Duty",'Maintenance costs table'!$D$5)</f>
        <v>0.35</v>
      </c>
      <c r="I28" s="28">
        <v>0.08</v>
      </c>
      <c r="J28" s="28" t="s">
        <v>607</v>
      </c>
      <c r="K28" s="28" t="s">
        <v>646</v>
      </c>
    </row>
    <row r="29" spans="1:11">
      <c r="A29" s="28" t="s">
        <v>647</v>
      </c>
      <c r="B29" s="28">
        <v>2025</v>
      </c>
      <c r="C29" s="28">
        <v>1100</v>
      </c>
      <c r="D29" s="28" t="s">
        <v>645</v>
      </c>
      <c r="E29" s="35">
        <v>48745</v>
      </c>
      <c r="F29" s="28" t="s">
        <v>295</v>
      </c>
      <c r="G29" s="80" t="str" cm="1">
        <f t="array" ref="G29">_xlfn.IFS(OR(ICE_DB[[#This Row],[FHWA Class (2B - 8)]]= "2B", ICE_DB[[#This Row],[FHWA Class (2B - 8)]]=3), "Light Duty",OR(ICE_DB[[#This Row],[FHWA Class (2B - 8)]]=4,ICE_DB[[#This Row],[FHWA Class (2B - 8)]]=5,ICE_DB[[#This Row],[FHWA Class (2B - 8)]]=6),"Medium Duty",OR(ICE_DB[[#This Row],[FHWA Class (2B - 8)]]=7,ICE_DB[[#This Row],[FHWA Class (2B - 8)]]=8), "Heavy Duty")</f>
        <v>Light Duty</v>
      </c>
      <c r="H29" s="80" cm="1">
        <f t="array" ref="H29">_xlfn.IFS(ICE_DB[[#This Row],[Category]]="Light Duty",'Maintenance costs table'!$D$3, ICE_DB[[#This Row],[Category]]="Medium Duty",'Maintenance costs table'!$D$7,ICE_DB[[#This Row],[Category]]="Heavy Duty",'Maintenance costs table'!$D$5)</f>
        <v>0.35</v>
      </c>
      <c r="I29" s="28">
        <v>8.4000000000000005E-2</v>
      </c>
      <c r="J29" s="28" t="s">
        <v>607</v>
      </c>
      <c r="K29" s="28"/>
    </row>
    <row r="30" spans="1:11">
      <c r="A30" s="28" t="s">
        <v>648</v>
      </c>
      <c r="C30" s="28">
        <v>10500</v>
      </c>
      <c r="D30" s="28" t="s">
        <v>649</v>
      </c>
      <c r="E30" s="35">
        <v>800000</v>
      </c>
      <c r="F30" s="28">
        <v>8</v>
      </c>
      <c r="G30" s="80" t="str" cm="1">
        <f t="array" ref="G30">_xlfn.IFS(OR(ICE_DB[[#This Row],[FHWA Class (2B - 8)]]= "2B", ICE_DB[[#This Row],[FHWA Class (2B - 8)]]=3), "Light Duty",OR(ICE_DB[[#This Row],[FHWA Class (2B - 8)]]=4,ICE_DB[[#This Row],[FHWA Class (2B - 8)]]=5,ICE_DB[[#This Row],[FHWA Class (2B - 8)]]=6),"Medium Duty",OR(ICE_DB[[#This Row],[FHWA Class (2B - 8)]]=7,ICE_DB[[#This Row],[FHWA Class (2B - 8)]]=8), "Heavy Duty")</f>
        <v>Heavy Duty</v>
      </c>
      <c r="H30" s="80" cm="1">
        <f t="array" ref="H30">_xlfn.IFS(ICE_DB[[#This Row],[Category]]="Light Duty",'Maintenance costs table'!$D$3, ICE_DB[[#This Row],[Category]]="Medium Duty",'Maintenance costs table'!$D$7,ICE_DB[[#This Row],[Category]]="Heavy Duty",'Maintenance costs table'!$D$5)</f>
        <v>0.63</v>
      </c>
      <c r="I30" s="28">
        <v>0.55000000000000004</v>
      </c>
      <c r="J30" s="28" t="s">
        <v>603</v>
      </c>
      <c r="K30" s="28" t="s">
        <v>650</v>
      </c>
    </row>
    <row r="31" spans="1:11">
      <c r="A31" s="28" t="s">
        <v>651</v>
      </c>
      <c r="E31" s="35">
        <v>1500000</v>
      </c>
      <c r="F31" s="28">
        <v>8</v>
      </c>
      <c r="G31" s="80" t="str" cm="1">
        <f t="array" ref="G31">_xlfn.IFS(OR(ICE_DB[[#This Row],[FHWA Class (2B - 8)]]= "2B", ICE_DB[[#This Row],[FHWA Class (2B - 8)]]=3), "Light Duty",OR(ICE_DB[[#This Row],[FHWA Class (2B - 8)]]=4,ICE_DB[[#This Row],[FHWA Class (2B - 8)]]=5,ICE_DB[[#This Row],[FHWA Class (2B - 8)]]=6),"Medium Duty",OR(ICE_DB[[#This Row],[FHWA Class (2B - 8)]]=7,ICE_DB[[#This Row],[FHWA Class (2B - 8)]]=8), "Heavy Duty")</f>
        <v>Heavy Duty</v>
      </c>
      <c r="H31" s="80" cm="1">
        <f t="array" ref="H31">_xlfn.IFS(ICE_DB[[#This Row],[Category]]="Light Duty",'Maintenance costs table'!$D$3, ICE_DB[[#This Row],[Category]]="Medium Duty",'Maintenance costs table'!$D$7,ICE_DB[[#This Row],[Category]]="Heavy Duty",'Maintenance costs table'!$D$5)</f>
        <v>0.63</v>
      </c>
      <c r="K31" s="28"/>
    </row>
    <row r="32" spans="1:11">
      <c r="A32" s="28" t="s">
        <v>652</v>
      </c>
      <c r="B32" s="28">
        <v>2025</v>
      </c>
      <c r="C32" s="28">
        <v>27000</v>
      </c>
      <c r="D32" s="28" t="s">
        <v>653</v>
      </c>
      <c r="E32" s="35">
        <v>197000</v>
      </c>
      <c r="F32" s="28">
        <v>8</v>
      </c>
      <c r="G32" s="80" t="str" cm="1">
        <f t="array" ref="G32">_xlfn.IFS(OR(ICE_DB[[#This Row],[FHWA Class (2B - 8)]]= "2B", ICE_DB[[#This Row],[FHWA Class (2B - 8)]]=3), "Light Duty",OR(ICE_DB[[#This Row],[FHWA Class (2B - 8)]]=4,ICE_DB[[#This Row],[FHWA Class (2B - 8)]]=5,ICE_DB[[#This Row],[FHWA Class (2B - 8)]]=6),"Medium Duty",OR(ICE_DB[[#This Row],[FHWA Class (2B - 8)]]=7,ICE_DB[[#This Row],[FHWA Class (2B - 8)]]=8), "Heavy Duty")</f>
        <v>Heavy Duty</v>
      </c>
      <c r="H32" s="80" cm="1">
        <f t="array" ref="H32">_xlfn.IFS(ICE_DB[[#This Row],[Category]]="Light Duty",'Maintenance costs table'!$D$3, ICE_DB[[#This Row],[Category]]="Medium Duty",'Maintenance costs table'!$D$7,ICE_DB[[#This Row],[Category]]="Heavy Duty",'Maintenance costs table'!$D$5)</f>
        <v>0.63</v>
      </c>
      <c r="I32" s="28">
        <v>0.68</v>
      </c>
      <c r="J32" s="28" t="s">
        <v>603</v>
      </c>
      <c r="K32" s="28"/>
    </row>
    <row r="33" spans="1:11">
      <c r="A33" s="28" t="s">
        <v>654</v>
      </c>
      <c r="B33" s="28">
        <v>2024</v>
      </c>
      <c r="C33" s="28">
        <v>36000</v>
      </c>
      <c r="D33" s="28" t="s">
        <v>653</v>
      </c>
      <c r="E33" s="35">
        <v>228336</v>
      </c>
      <c r="F33" s="28">
        <v>8</v>
      </c>
      <c r="G33" s="80" t="str" cm="1">
        <f t="array" ref="G33">_xlfn.IFS(OR(ICE_DB[[#This Row],[FHWA Class (2B - 8)]]= "2B", ICE_DB[[#This Row],[FHWA Class (2B - 8)]]=3), "Light Duty",OR(ICE_DB[[#This Row],[FHWA Class (2B - 8)]]=4,ICE_DB[[#This Row],[FHWA Class (2B - 8)]]=5,ICE_DB[[#This Row],[FHWA Class (2B - 8)]]=6),"Medium Duty",OR(ICE_DB[[#This Row],[FHWA Class (2B - 8)]]=7,ICE_DB[[#This Row],[FHWA Class (2B - 8)]]=8), "Heavy Duty")</f>
        <v>Heavy Duty</v>
      </c>
      <c r="H33" s="80" cm="1">
        <f t="array" ref="H33">_xlfn.IFS(ICE_DB[[#This Row],[Category]]="Light Duty",'Maintenance costs table'!$D$3, ICE_DB[[#This Row],[Category]]="Medium Duty",'Maintenance costs table'!$D$7,ICE_DB[[#This Row],[Category]]="Heavy Duty",'Maintenance costs table'!$D$5)</f>
        <v>0.63</v>
      </c>
      <c r="I33" s="28">
        <v>0.68</v>
      </c>
      <c r="J33" s="28" t="s">
        <v>655</v>
      </c>
      <c r="K33" s="28"/>
    </row>
    <row r="34" spans="1:11">
      <c r="A34" s="28" t="s">
        <v>656</v>
      </c>
      <c r="B34" s="226">
        <v>2025</v>
      </c>
      <c r="C34" s="28">
        <v>52000</v>
      </c>
      <c r="D34" s="28" t="s">
        <v>657</v>
      </c>
      <c r="E34" s="35">
        <v>245000</v>
      </c>
      <c r="F34" s="28">
        <v>8</v>
      </c>
      <c r="G34" s="80" t="str" cm="1">
        <f t="array" ref="G34">_xlfn.IFS(OR(ICE_DB[[#This Row],[FHWA Class (2B - 8)]]= "2B", ICE_DB[[#This Row],[FHWA Class (2B - 8)]]=3), "Light Duty",OR(ICE_DB[[#This Row],[FHWA Class (2B - 8)]]=4,ICE_DB[[#This Row],[FHWA Class (2B - 8)]]=5,ICE_DB[[#This Row],[FHWA Class (2B - 8)]]=6),"Medium Duty",OR(ICE_DB[[#This Row],[FHWA Class (2B - 8)]]=7,ICE_DB[[#This Row],[FHWA Class (2B - 8)]]=8), "Heavy Duty")</f>
        <v>Heavy Duty</v>
      </c>
      <c r="H34" s="80" cm="1">
        <f t="array" ref="H34">_xlfn.IFS(ICE_DB[[#This Row],[Category]]="Light Duty",'Maintenance costs table'!$D$3, ICE_DB[[#This Row],[Category]]="Medium Duty",'Maintenance costs table'!$D$7,ICE_DB[[#This Row],[Category]]="Heavy Duty",'Maintenance costs table'!$D$5)</f>
        <v>0.63</v>
      </c>
      <c r="I34" s="28">
        <v>0.31</v>
      </c>
      <c r="J34" s="28" t="s">
        <v>655</v>
      </c>
      <c r="K34" s="28"/>
    </row>
  </sheetData>
  <pageMargins left="0.7" right="0.7" top="0.75" bottom="0.75" header="0.3" footer="0.3"/>
  <ignoredErrors>
    <ignoredError sqref="I2" calculatedColumn="1"/>
  </ignoredErrors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3455B-208E-4F5B-BC4E-73C0D6ED8B84}">
  <dimension ref="A1:I7"/>
  <sheetViews>
    <sheetView zoomScale="93" workbookViewId="0">
      <selection activeCell="C6" sqref="C6"/>
    </sheetView>
  </sheetViews>
  <sheetFormatPr defaultRowHeight="18"/>
  <cols>
    <col min="1" max="1" width="23" style="20" customWidth="1"/>
    <col min="2" max="2" width="16" style="20" bestFit="1" customWidth="1"/>
    <col min="3" max="3" width="34" style="20" bestFit="1" customWidth="1"/>
    <col min="4" max="4" width="22.28515625" style="20" bestFit="1" customWidth="1"/>
    <col min="5" max="9" width="8.7109375" style="20"/>
  </cols>
  <sheetData>
    <row r="1" spans="1:4">
      <c r="A1" s="20" t="s">
        <v>658</v>
      </c>
      <c r="B1" s="20" t="s">
        <v>659</v>
      </c>
      <c r="C1" s="20" t="s">
        <v>660</v>
      </c>
      <c r="D1" s="20" t="s">
        <v>661</v>
      </c>
    </row>
    <row r="2" spans="1:4">
      <c r="A2" s="20" t="s">
        <v>28</v>
      </c>
      <c r="B2" s="20" t="s">
        <v>662</v>
      </c>
      <c r="C2" s="52">
        <v>15214.071599999999</v>
      </c>
      <c r="D2" s="20">
        <v>19</v>
      </c>
    </row>
    <row r="3" spans="1:4">
      <c r="A3" s="20" t="s">
        <v>663</v>
      </c>
      <c r="C3" s="52"/>
    </row>
    <row r="4" spans="1:4">
      <c r="A4" s="20" t="s">
        <v>664</v>
      </c>
      <c r="B4" s="20" t="s">
        <v>662</v>
      </c>
      <c r="C4" s="52">
        <v>50000</v>
      </c>
      <c r="D4" s="20">
        <v>50</v>
      </c>
    </row>
    <row r="5" spans="1:4">
      <c r="A5" s="20" t="s">
        <v>665</v>
      </c>
      <c r="B5" s="20" t="s">
        <v>662</v>
      </c>
      <c r="C5" s="52">
        <v>232476.63529999999</v>
      </c>
      <c r="D5" s="20">
        <v>100</v>
      </c>
    </row>
    <row r="6" spans="1:4">
      <c r="A6" s="20" t="s">
        <v>666</v>
      </c>
      <c r="B6" s="20" t="s">
        <v>667</v>
      </c>
      <c r="C6" s="52">
        <v>299164.34989999997</v>
      </c>
      <c r="D6" s="20">
        <v>150</v>
      </c>
    </row>
    <row r="7" spans="1:4">
      <c r="C7" s="52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0640E-3441-458F-85FC-A379BB24CD63}">
  <dimension ref="A1:C29"/>
  <sheetViews>
    <sheetView workbookViewId="0">
      <selection activeCell="E14" sqref="E14"/>
    </sheetView>
  </sheetViews>
  <sheetFormatPr defaultRowHeight="14.45"/>
  <cols>
    <col min="1" max="1" width="28.140625" bestFit="1" customWidth="1"/>
    <col min="2" max="2" width="11.28515625" customWidth="1"/>
    <col min="3" max="3" width="38.5703125" customWidth="1"/>
  </cols>
  <sheetData>
    <row r="1" spans="1:3">
      <c r="A1" s="189" t="s">
        <v>668</v>
      </c>
      <c r="B1" s="189" t="s">
        <v>24</v>
      </c>
      <c r="C1" s="189" t="s">
        <v>669</v>
      </c>
    </row>
    <row r="2" spans="1:3">
      <c r="A2" s="188" t="s">
        <v>670</v>
      </c>
      <c r="B2" s="188" t="s">
        <v>25</v>
      </c>
      <c r="C2" s="188">
        <v>0.19700636399999996</v>
      </c>
    </row>
    <row r="3" spans="1:3">
      <c r="A3" s="188" t="s">
        <v>670</v>
      </c>
      <c r="B3" s="188" t="s">
        <v>578</v>
      </c>
      <c r="C3" s="188">
        <v>0.19876676399999993</v>
      </c>
    </row>
    <row r="4" spans="1:3">
      <c r="A4" s="188" t="s">
        <v>670</v>
      </c>
      <c r="B4" s="188" t="s">
        <v>579</v>
      </c>
      <c r="C4" s="188">
        <v>0.20228756400000009</v>
      </c>
    </row>
    <row r="5" spans="1:3">
      <c r="A5" s="188" t="s">
        <v>670</v>
      </c>
      <c r="B5" s="188" t="s">
        <v>580</v>
      </c>
      <c r="C5" s="188">
        <v>7.7299163999999976E-2</v>
      </c>
    </row>
    <row r="6" spans="1:3">
      <c r="A6" s="188" t="s">
        <v>670</v>
      </c>
      <c r="B6" s="188" t="s">
        <v>581</v>
      </c>
      <c r="C6" s="188">
        <v>6.6149963999999978E-2</v>
      </c>
    </row>
    <row r="7" spans="1:3">
      <c r="A7" s="188" t="s">
        <v>670</v>
      </c>
      <c r="B7" s="188" t="s">
        <v>582</v>
      </c>
      <c r="C7" s="188">
        <v>7.3778363999999985E-2</v>
      </c>
    </row>
    <row r="8" spans="1:3">
      <c r="A8" s="188" t="s">
        <v>670</v>
      </c>
      <c r="B8" s="188" t="s">
        <v>583</v>
      </c>
      <c r="C8" s="188">
        <v>0.15299636399999994</v>
      </c>
    </row>
    <row r="9" spans="1:3">
      <c r="A9" s="188" t="s">
        <v>670</v>
      </c>
      <c r="B9" s="188" t="s">
        <v>584</v>
      </c>
      <c r="C9" s="188">
        <v>0.20111396399999998</v>
      </c>
    </row>
    <row r="10" spans="1:3">
      <c r="A10" s="188" t="s">
        <v>670</v>
      </c>
      <c r="B10" s="188" t="s">
        <v>585</v>
      </c>
      <c r="C10" s="188">
        <v>0.20404796399999997</v>
      </c>
    </row>
    <row r="11" spans="1:3">
      <c r="A11" s="188" t="s">
        <v>670</v>
      </c>
      <c r="B11" s="188" t="s">
        <v>586</v>
      </c>
      <c r="C11" s="188">
        <v>0.19583276399999999</v>
      </c>
    </row>
    <row r="12" spans="1:3">
      <c r="A12" s="188" t="s">
        <v>670</v>
      </c>
      <c r="B12" s="188" t="s">
        <v>587</v>
      </c>
      <c r="C12" s="188">
        <v>0.18761756399999996</v>
      </c>
    </row>
    <row r="13" spans="1:3">
      <c r="A13" s="188" t="s">
        <v>670</v>
      </c>
      <c r="B13" s="188" t="s">
        <v>588</v>
      </c>
      <c r="C13" s="188">
        <v>2.1553163999999986E-2</v>
      </c>
    </row>
    <row r="14" spans="1:3">
      <c r="A14" s="188" t="s">
        <v>670</v>
      </c>
      <c r="B14" s="188" t="s">
        <v>589</v>
      </c>
      <c r="C14" s="188">
        <v>0.16355876399999997</v>
      </c>
    </row>
    <row r="15" spans="1:3">
      <c r="A15" s="188" t="s">
        <v>671</v>
      </c>
      <c r="B15" t="s">
        <v>25</v>
      </c>
      <c r="C15">
        <v>0.24205499999999996</v>
      </c>
    </row>
    <row r="16" spans="1:3">
      <c r="A16" s="188" t="s">
        <v>671</v>
      </c>
      <c r="B16" t="s">
        <v>578</v>
      </c>
      <c r="C16">
        <v>0.24381540000000024</v>
      </c>
    </row>
    <row r="17" spans="1:3">
      <c r="A17" s="188" t="s">
        <v>671</v>
      </c>
      <c r="B17" t="s">
        <v>579</v>
      </c>
      <c r="C17">
        <v>0.24733619999999995</v>
      </c>
    </row>
    <row r="18" spans="1:3">
      <c r="A18" s="188" t="s">
        <v>671</v>
      </c>
      <c r="B18" t="s">
        <v>580</v>
      </c>
      <c r="C18">
        <v>0.12234780000000001</v>
      </c>
    </row>
    <row r="19" spans="1:3">
      <c r="A19" s="188" t="s">
        <v>671</v>
      </c>
      <c r="B19" t="s">
        <v>581</v>
      </c>
      <c r="C19">
        <v>0.11119859999999999</v>
      </c>
    </row>
    <row r="20" spans="1:3">
      <c r="A20" s="188" t="s">
        <v>671</v>
      </c>
      <c r="B20" t="s">
        <v>582</v>
      </c>
      <c r="C20">
        <v>0.11882699999999996</v>
      </c>
    </row>
    <row r="21" spans="1:3">
      <c r="A21" s="188" t="s">
        <v>671</v>
      </c>
      <c r="B21" t="s">
        <v>583</v>
      </c>
      <c r="C21">
        <v>0.19804500000000008</v>
      </c>
    </row>
    <row r="22" spans="1:3">
      <c r="A22" s="188" t="s">
        <v>671</v>
      </c>
      <c r="B22" t="s">
        <v>584</v>
      </c>
      <c r="C22">
        <v>0.24616259999999998</v>
      </c>
    </row>
    <row r="23" spans="1:3">
      <c r="A23" s="188" t="s">
        <v>671</v>
      </c>
      <c r="B23" t="s">
        <v>585</v>
      </c>
      <c r="C23">
        <v>0.2490966</v>
      </c>
    </row>
    <row r="24" spans="1:3">
      <c r="A24" s="188" t="s">
        <v>671</v>
      </c>
      <c r="B24" t="s">
        <v>586</v>
      </c>
      <c r="C24">
        <v>0.24088139999999997</v>
      </c>
    </row>
    <row r="25" spans="1:3">
      <c r="A25" s="188" t="s">
        <v>671</v>
      </c>
      <c r="B25" t="s">
        <v>587</v>
      </c>
      <c r="C25">
        <v>0.2326662000000001</v>
      </c>
    </row>
    <row r="26" spans="1:3">
      <c r="A26" s="188" t="s">
        <v>671</v>
      </c>
      <c r="B26" t="s">
        <v>588</v>
      </c>
      <c r="C26">
        <v>6.6601800000000017E-2</v>
      </c>
    </row>
    <row r="27" spans="1:3">
      <c r="A27" s="188" t="s">
        <v>671</v>
      </c>
      <c r="B27" t="s">
        <v>589</v>
      </c>
      <c r="C27">
        <v>0.2086074</v>
      </c>
    </row>
    <row r="29" spans="1:3">
      <c r="A29" t="s">
        <v>672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77047-8ECF-4956-8F34-DED68A7B5ED0}">
  <dimension ref="A2:E11"/>
  <sheetViews>
    <sheetView workbookViewId="0">
      <selection activeCell="H11" sqref="H11"/>
    </sheetView>
  </sheetViews>
  <sheetFormatPr defaultRowHeight="17.45"/>
  <cols>
    <col min="1" max="1" width="19.85546875" style="28" customWidth="1"/>
    <col min="2" max="2" width="21.28515625" style="28" hidden="1" customWidth="1"/>
    <col min="3" max="3" width="27" style="28" hidden="1" customWidth="1"/>
    <col min="4" max="4" width="23.28515625" style="28" customWidth="1"/>
    <col min="5" max="5" width="13.5703125" bestFit="1" customWidth="1"/>
  </cols>
  <sheetData>
    <row r="2" spans="1:5" ht="15.95" thickBot="1">
      <c r="A2" s="53" t="s">
        <v>673</v>
      </c>
      <c r="B2" s="53" t="s">
        <v>674</v>
      </c>
      <c r="C2" s="53" t="s">
        <v>675</v>
      </c>
      <c r="D2" s="53" t="s">
        <v>676</v>
      </c>
      <c r="E2" s="98" t="s">
        <v>99</v>
      </c>
    </row>
    <row r="3" spans="1:5" ht="15.6">
      <c r="A3" s="54" t="s">
        <v>677</v>
      </c>
      <c r="B3" s="54">
        <v>1.7999999999999999E-2</v>
      </c>
      <c r="C3" s="54">
        <v>0.23</v>
      </c>
      <c r="D3" s="81">
        <v>0.35</v>
      </c>
      <c r="E3" t="s">
        <v>678</v>
      </c>
    </row>
    <row r="4" spans="1:5" ht="15.95" thickBot="1">
      <c r="A4" s="55" t="s">
        <v>679</v>
      </c>
      <c r="B4" s="56">
        <v>3.1E-2</v>
      </c>
      <c r="C4" s="56">
        <v>0.01</v>
      </c>
      <c r="D4" s="82">
        <v>0.18</v>
      </c>
      <c r="E4" t="s">
        <v>678</v>
      </c>
    </row>
    <row r="5" spans="1:5" ht="15.6">
      <c r="A5" s="57" t="s">
        <v>680</v>
      </c>
      <c r="B5" s="54">
        <v>0.03</v>
      </c>
      <c r="C5" s="58">
        <v>0.44</v>
      </c>
      <c r="D5" s="83">
        <v>0.63</v>
      </c>
      <c r="E5" t="s">
        <v>678</v>
      </c>
    </row>
    <row r="6" spans="1:5" ht="15.6">
      <c r="A6" s="55" t="s">
        <v>681</v>
      </c>
      <c r="B6" s="56">
        <v>7.1999999999999995E-2</v>
      </c>
      <c r="C6" s="56">
        <v>0.05</v>
      </c>
      <c r="D6" s="82">
        <v>0.43</v>
      </c>
      <c r="E6" t="s">
        <v>678</v>
      </c>
    </row>
    <row r="7" spans="1:5" ht="15.6">
      <c r="A7" s="57" t="s">
        <v>682</v>
      </c>
      <c r="B7" s="54">
        <v>3.3000000000000002E-2</v>
      </c>
      <c r="C7" s="54">
        <v>0.23</v>
      </c>
      <c r="D7" s="83">
        <v>0.38</v>
      </c>
      <c r="E7" t="s">
        <v>678</v>
      </c>
    </row>
    <row r="8" spans="1:5" ht="15.95" thickBot="1">
      <c r="A8" s="55" t="s">
        <v>683</v>
      </c>
      <c r="B8" s="56">
        <v>6.3E-2</v>
      </c>
      <c r="C8" s="56">
        <v>0.01</v>
      </c>
      <c r="D8" s="82">
        <v>0.25</v>
      </c>
      <c r="E8" t="s">
        <v>678</v>
      </c>
    </row>
    <row r="9" spans="1:5">
      <c r="B9" s="3"/>
    </row>
    <row r="10" spans="1:5">
      <c r="A10" s="28" t="s">
        <v>684</v>
      </c>
      <c r="B10"/>
    </row>
    <row r="11" spans="1:5">
      <c r="A11" s="28" t="s">
        <v>678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6D9C0-9114-4412-9701-A75D85DD2596}">
  <dimension ref="A1:B6"/>
  <sheetViews>
    <sheetView workbookViewId="0">
      <selection activeCell="H18" sqref="H18"/>
    </sheetView>
  </sheetViews>
  <sheetFormatPr defaultRowHeight="14.45"/>
  <cols>
    <col min="1" max="1" width="13.5703125" customWidth="1"/>
    <col min="2" max="2" width="28" customWidth="1"/>
  </cols>
  <sheetData>
    <row r="1" spans="1:2">
      <c r="A1" t="s">
        <v>685</v>
      </c>
      <c r="B1" t="s">
        <v>686</v>
      </c>
    </row>
    <row r="2" spans="1:2" ht="17.45">
      <c r="A2" s="96" t="s">
        <v>295</v>
      </c>
      <c r="B2">
        <v>10000</v>
      </c>
    </row>
    <row r="3" spans="1:2" ht="17.45">
      <c r="A3" s="96">
        <v>3</v>
      </c>
      <c r="B3">
        <v>55000</v>
      </c>
    </row>
    <row r="4" spans="1:2" ht="17.45">
      <c r="A4" s="97" t="s">
        <v>687</v>
      </c>
      <c r="B4">
        <v>75000</v>
      </c>
    </row>
    <row r="5" spans="1:2" ht="17.45">
      <c r="A5" s="97" t="s">
        <v>688</v>
      </c>
      <c r="B5">
        <v>100000</v>
      </c>
    </row>
    <row r="6" spans="1:2" ht="17.45">
      <c r="A6" s="96">
        <v>8</v>
      </c>
      <c r="B6">
        <v>150000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51AFD-0B2F-458C-A3BF-245984C2EB19}">
  <dimension ref="A1:D11"/>
  <sheetViews>
    <sheetView workbookViewId="0">
      <selection activeCell="B17" sqref="B17"/>
    </sheetView>
  </sheetViews>
  <sheetFormatPr defaultRowHeight="14.45"/>
  <cols>
    <col min="1" max="1" width="47.28515625" bestFit="1" customWidth="1"/>
    <col min="2" max="2" width="47.28515625" customWidth="1"/>
    <col min="3" max="3" width="34" customWidth="1"/>
    <col min="4" max="4" width="18" customWidth="1"/>
  </cols>
  <sheetData>
    <row r="1" spans="1:4" ht="21.95" thickBot="1">
      <c r="A1" s="260" t="s">
        <v>689</v>
      </c>
      <c r="B1" s="260"/>
      <c r="C1" s="260"/>
      <c r="D1" s="260"/>
    </row>
    <row r="2" spans="1:4" ht="27" thickBot="1">
      <c r="A2" s="89" t="s">
        <v>685</v>
      </c>
      <c r="B2" s="89" t="s">
        <v>690</v>
      </c>
      <c r="C2" s="89" t="s">
        <v>691</v>
      </c>
      <c r="D2" s="89" t="s">
        <v>692</v>
      </c>
    </row>
    <row r="3" spans="1:4" ht="15" thickBot="1">
      <c r="A3" s="99">
        <v>8</v>
      </c>
      <c r="B3" s="86" t="s">
        <v>693</v>
      </c>
      <c r="C3" s="86" t="s">
        <v>694</v>
      </c>
      <c r="D3" s="88">
        <v>200000</v>
      </c>
    </row>
    <row r="4" spans="1:4" ht="15" thickBot="1">
      <c r="A4" s="99">
        <v>8</v>
      </c>
      <c r="B4" s="87" t="s">
        <v>695</v>
      </c>
      <c r="C4" s="86" t="s">
        <v>696</v>
      </c>
      <c r="D4" s="88">
        <v>150000</v>
      </c>
    </row>
    <row r="5" spans="1:4" ht="15" thickBot="1">
      <c r="A5" s="99">
        <v>8</v>
      </c>
      <c r="B5" s="86" t="s">
        <v>697</v>
      </c>
      <c r="C5" s="86" t="s">
        <v>696</v>
      </c>
      <c r="D5" s="88">
        <v>100000</v>
      </c>
    </row>
    <row r="6" spans="1:4" ht="15" thickBot="1">
      <c r="A6" s="99">
        <v>7</v>
      </c>
      <c r="B6" s="99"/>
      <c r="C6" s="86" t="s">
        <v>698</v>
      </c>
      <c r="D6" s="88">
        <v>100000</v>
      </c>
    </row>
    <row r="7" spans="1:4" ht="15" thickBot="1">
      <c r="A7" s="99">
        <v>6</v>
      </c>
      <c r="B7" s="99"/>
      <c r="C7" s="86" t="s">
        <v>699</v>
      </c>
      <c r="D7" s="88">
        <v>100000</v>
      </c>
    </row>
    <row r="8" spans="1:4" ht="15" thickBot="1">
      <c r="A8" s="99">
        <v>5</v>
      </c>
      <c r="B8" s="99"/>
      <c r="C8" s="86" t="s">
        <v>700</v>
      </c>
      <c r="D8" s="88">
        <v>75000</v>
      </c>
    </row>
    <row r="9" spans="1:4" ht="15" thickBot="1">
      <c r="A9" s="99">
        <v>4</v>
      </c>
      <c r="B9" s="99"/>
      <c r="C9" s="86" t="s">
        <v>701</v>
      </c>
      <c r="D9" s="88">
        <v>75000</v>
      </c>
    </row>
    <row r="10" spans="1:4" ht="15" thickBot="1">
      <c r="A10" s="99">
        <v>3</v>
      </c>
      <c r="B10" s="99"/>
      <c r="C10" s="86" t="s">
        <v>702</v>
      </c>
      <c r="D10" s="88">
        <v>40000</v>
      </c>
    </row>
    <row r="11" spans="1:4">
      <c r="A11" s="86" t="s">
        <v>295</v>
      </c>
      <c r="B11" s="86"/>
      <c r="C11" s="86" t="s">
        <v>703</v>
      </c>
      <c r="D11" s="88">
        <v>10000</v>
      </c>
    </row>
  </sheetData>
  <mergeCells count="1"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C5E0B-0213-47E2-A5C7-281F1FB5A09A}">
  <dimension ref="A1:D40"/>
  <sheetViews>
    <sheetView workbookViewId="0">
      <selection activeCell="H11" sqref="H11"/>
    </sheetView>
  </sheetViews>
  <sheetFormatPr defaultRowHeight="14.45"/>
  <cols>
    <col min="1" max="1" width="16.85546875" bestFit="1" customWidth="1"/>
    <col min="2" max="2" width="13.5703125" customWidth="1"/>
    <col min="3" max="3" width="9.42578125" customWidth="1"/>
    <col min="4" max="4" width="9.5703125" customWidth="1"/>
  </cols>
  <sheetData>
    <row r="1" spans="1:4" ht="17.45">
      <c r="A1" s="190" t="s">
        <v>658</v>
      </c>
      <c r="B1" s="190" t="s">
        <v>659</v>
      </c>
      <c r="C1" s="190" t="s">
        <v>24</v>
      </c>
      <c r="D1" s="190" t="s">
        <v>704</v>
      </c>
    </row>
    <row r="2" spans="1:4" ht="17.45">
      <c r="A2" s="191" t="s">
        <v>28</v>
      </c>
      <c r="B2" s="191" t="s">
        <v>662</v>
      </c>
      <c r="C2" s="191" t="s">
        <v>25</v>
      </c>
      <c r="D2" s="191"/>
    </row>
    <row r="3" spans="1:4" ht="17.45">
      <c r="A3" s="191" t="s">
        <v>28</v>
      </c>
      <c r="B3" s="191" t="s">
        <v>662</v>
      </c>
      <c r="C3" s="191" t="s">
        <v>578</v>
      </c>
      <c r="D3" s="192">
        <v>2000</v>
      </c>
    </row>
    <row r="4" spans="1:4" ht="17.45">
      <c r="A4" s="191" t="s">
        <v>28</v>
      </c>
      <c r="B4" s="191" t="s">
        <v>662</v>
      </c>
      <c r="C4" s="191" t="s">
        <v>579</v>
      </c>
      <c r="D4" s="191"/>
    </row>
    <row r="5" spans="1:4" ht="17.45">
      <c r="A5" s="191" t="s">
        <v>28</v>
      </c>
      <c r="B5" s="191" t="s">
        <v>662</v>
      </c>
      <c r="C5" s="191" t="s">
        <v>580</v>
      </c>
      <c r="D5" s="191"/>
    </row>
    <row r="6" spans="1:4" ht="17.45">
      <c r="A6" s="191" t="s">
        <v>28</v>
      </c>
      <c r="B6" s="191" t="s">
        <v>662</v>
      </c>
      <c r="C6" s="191" t="s">
        <v>581</v>
      </c>
      <c r="D6" s="191"/>
    </row>
    <row r="7" spans="1:4" ht="17.45">
      <c r="A7" s="191" t="s">
        <v>28</v>
      </c>
      <c r="B7" s="191" t="s">
        <v>662</v>
      </c>
      <c r="C7" s="191" t="s">
        <v>582</v>
      </c>
      <c r="D7" s="191"/>
    </row>
    <row r="8" spans="1:4" ht="17.45">
      <c r="A8" s="191" t="s">
        <v>28</v>
      </c>
      <c r="B8" s="191" t="s">
        <v>662</v>
      </c>
      <c r="C8" s="191" t="s">
        <v>583</v>
      </c>
      <c r="D8" s="191"/>
    </row>
    <row r="9" spans="1:4" ht="17.45">
      <c r="A9" s="191" t="s">
        <v>28</v>
      </c>
      <c r="B9" s="191" t="s">
        <v>662</v>
      </c>
      <c r="C9" s="191" t="s">
        <v>584</v>
      </c>
      <c r="D9" s="191"/>
    </row>
    <row r="10" spans="1:4" ht="17.45">
      <c r="A10" s="191" t="s">
        <v>28</v>
      </c>
      <c r="B10" s="191" t="s">
        <v>662</v>
      </c>
      <c r="C10" s="191" t="s">
        <v>585</v>
      </c>
      <c r="D10" s="191"/>
    </row>
    <row r="11" spans="1:4" ht="17.45">
      <c r="A11" s="191" t="s">
        <v>28</v>
      </c>
      <c r="B11" s="191" t="s">
        <v>662</v>
      </c>
      <c r="C11" s="191" t="s">
        <v>586</v>
      </c>
      <c r="D11" s="191"/>
    </row>
    <row r="12" spans="1:4" ht="17.45">
      <c r="A12" s="191" t="s">
        <v>28</v>
      </c>
      <c r="B12" s="191" t="s">
        <v>662</v>
      </c>
      <c r="C12" s="191" t="s">
        <v>587</v>
      </c>
      <c r="D12" s="191"/>
    </row>
    <row r="13" spans="1:4" ht="17.45">
      <c r="A13" s="191" t="s">
        <v>28</v>
      </c>
      <c r="B13" s="191" t="s">
        <v>662</v>
      </c>
      <c r="C13" s="191" t="s">
        <v>588</v>
      </c>
      <c r="D13" s="191"/>
    </row>
    <row r="14" spans="1:4" ht="17.45">
      <c r="A14" s="191" t="s">
        <v>28</v>
      </c>
      <c r="B14" s="191" t="s">
        <v>662</v>
      </c>
      <c r="C14" s="191" t="s">
        <v>589</v>
      </c>
      <c r="D14" s="191"/>
    </row>
    <row r="15" spans="1:4" ht="17.45">
      <c r="A15" s="191" t="s">
        <v>666</v>
      </c>
      <c r="B15" s="191" t="s">
        <v>667</v>
      </c>
      <c r="C15" s="191" t="s">
        <v>25</v>
      </c>
      <c r="D15" s="191"/>
    </row>
    <row r="16" spans="1:4" ht="17.45">
      <c r="A16" s="191" t="s">
        <v>666</v>
      </c>
      <c r="B16" s="191" t="s">
        <v>667</v>
      </c>
      <c r="C16" s="191" t="s">
        <v>578</v>
      </c>
      <c r="D16" s="192">
        <v>75000</v>
      </c>
    </row>
    <row r="17" spans="1:4" ht="17.45">
      <c r="A17" s="191" t="s">
        <v>666</v>
      </c>
      <c r="B17" s="191" t="s">
        <v>667</v>
      </c>
      <c r="C17" s="191" t="s">
        <v>579</v>
      </c>
      <c r="D17" s="191"/>
    </row>
    <row r="18" spans="1:4" ht="17.45">
      <c r="A18" s="191" t="s">
        <v>705</v>
      </c>
      <c r="B18" s="191" t="s">
        <v>667</v>
      </c>
      <c r="C18" s="191" t="s">
        <v>580</v>
      </c>
      <c r="D18" s="191"/>
    </row>
    <row r="19" spans="1:4" ht="17.45">
      <c r="A19" s="191" t="s">
        <v>666</v>
      </c>
      <c r="B19" s="191" t="s">
        <v>667</v>
      </c>
      <c r="C19" s="191" t="s">
        <v>581</v>
      </c>
      <c r="D19" s="191"/>
    </row>
    <row r="20" spans="1:4" ht="17.45">
      <c r="A20" s="191" t="s">
        <v>666</v>
      </c>
      <c r="B20" s="191" t="s">
        <v>667</v>
      </c>
      <c r="C20" s="191" t="s">
        <v>582</v>
      </c>
      <c r="D20" s="191"/>
    </row>
    <row r="21" spans="1:4" ht="17.45">
      <c r="A21" s="191" t="s">
        <v>666</v>
      </c>
      <c r="B21" s="191" t="s">
        <v>667</v>
      </c>
      <c r="C21" s="191" t="s">
        <v>583</v>
      </c>
      <c r="D21" s="191"/>
    </row>
    <row r="22" spans="1:4" ht="17.45">
      <c r="A22" s="191" t="s">
        <v>706</v>
      </c>
      <c r="B22" s="191" t="s">
        <v>667</v>
      </c>
      <c r="C22" s="191" t="s">
        <v>584</v>
      </c>
      <c r="D22" s="191"/>
    </row>
    <row r="23" spans="1:4" ht="17.45">
      <c r="A23" s="191" t="s">
        <v>666</v>
      </c>
      <c r="B23" s="191" t="s">
        <v>667</v>
      </c>
      <c r="C23" s="191" t="s">
        <v>585</v>
      </c>
      <c r="D23" s="191"/>
    </row>
    <row r="24" spans="1:4" ht="17.45">
      <c r="A24" s="191" t="s">
        <v>666</v>
      </c>
      <c r="B24" s="191" t="s">
        <v>667</v>
      </c>
      <c r="C24" s="191" t="s">
        <v>586</v>
      </c>
      <c r="D24" s="191"/>
    </row>
    <row r="25" spans="1:4" ht="17.45">
      <c r="A25" s="191" t="s">
        <v>666</v>
      </c>
      <c r="B25" s="191" t="s">
        <v>667</v>
      </c>
      <c r="C25" s="191" t="s">
        <v>587</v>
      </c>
      <c r="D25" s="191"/>
    </row>
    <row r="26" spans="1:4" ht="17.45">
      <c r="A26" s="191" t="s">
        <v>666</v>
      </c>
      <c r="B26" s="191" t="s">
        <v>667</v>
      </c>
      <c r="C26" s="191" t="s">
        <v>588</v>
      </c>
      <c r="D26" s="191"/>
    </row>
    <row r="27" spans="1:4" ht="17.45">
      <c r="A27" s="191" t="s">
        <v>666</v>
      </c>
      <c r="B27" s="191" t="s">
        <v>667</v>
      </c>
      <c r="C27" s="191" t="s">
        <v>589</v>
      </c>
      <c r="D27" s="191"/>
    </row>
    <row r="28" spans="1:4" ht="17.45">
      <c r="A28" s="191" t="s">
        <v>664</v>
      </c>
      <c r="B28" s="191" t="s">
        <v>662</v>
      </c>
      <c r="C28" s="191" t="s">
        <v>25</v>
      </c>
      <c r="D28" s="191"/>
    </row>
    <row r="29" spans="1:4" ht="17.45">
      <c r="A29" s="191" t="s">
        <v>664</v>
      </c>
      <c r="B29" s="191" t="s">
        <v>662</v>
      </c>
      <c r="C29" s="191" t="s">
        <v>578</v>
      </c>
      <c r="D29" s="192">
        <v>20000</v>
      </c>
    </row>
    <row r="30" spans="1:4" ht="17.45">
      <c r="A30" s="191" t="s">
        <v>664</v>
      </c>
      <c r="B30" s="191" t="s">
        <v>662</v>
      </c>
      <c r="C30" s="191" t="s">
        <v>579</v>
      </c>
      <c r="D30" s="191"/>
    </row>
    <row r="31" spans="1:4" ht="17.45">
      <c r="A31" s="191" t="s">
        <v>664</v>
      </c>
      <c r="B31" s="191" t="s">
        <v>662</v>
      </c>
      <c r="C31" s="191" t="s">
        <v>580</v>
      </c>
      <c r="D31" s="191"/>
    </row>
    <row r="32" spans="1:4" ht="17.45">
      <c r="A32" s="191" t="s">
        <v>664</v>
      </c>
      <c r="B32" s="191" t="s">
        <v>662</v>
      </c>
      <c r="C32" s="191" t="s">
        <v>581</v>
      </c>
      <c r="D32" s="191"/>
    </row>
    <row r="33" spans="1:4" ht="17.45">
      <c r="A33" s="191" t="s">
        <v>664</v>
      </c>
      <c r="B33" s="191" t="s">
        <v>662</v>
      </c>
      <c r="C33" s="191" t="s">
        <v>582</v>
      </c>
      <c r="D33" s="191"/>
    </row>
    <row r="34" spans="1:4" ht="17.45">
      <c r="A34" s="191" t="s">
        <v>664</v>
      </c>
      <c r="B34" s="191" t="s">
        <v>662</v>
      </c>
      <c r="C34" s="191" t="s">
        <v>583</v>
      </c>
      <c r="D34" s="191"/>
    </row>
    <row r="35" spans="1:4" ht="17.45">
      <c r="A35" s="191" t="s">
        <v>664</v>
      </c>
      <c r="B35" s="191" t="s">
        <v>662</v>
      </c>
      <c r="C35" s="191" t="s">
        <v>584</v>
      </c>
      <c r="D35" s="191"/>
    </row>
    <row r="36" spans="1:4" ht="17.45">
      <c r="A36" s="191" t="s">
        <v>664</v>
      </c>
      <c r="B36" s="191" t="s">
        <v>662</v>
      </c>
      <c r="C36" s="191" t="s">
        <v>585</v>
      </c>
      <c r="D36" s="191"/>
    </row>
    <row r="37" spans="1:4" ht="17.45">
      <c r="A37" s="191" t="s">
        <v>664</v>
      </c>
      <c r="B37" s="191" t="s">
        <v>662</v>
      </c>
      <c r="C37" s="191" t="s">
        <v>586</v>
      </c>
      <c r="D37" s="191"/>
    </row>
    <row r="38" spans="1:4" ht="17.45">
      <c r="A38" s="191" t="s">
        <v>664</v>
      </c>
      <c r="B38" s="191" t="s">
        <v>662</v>
      </c>
      <c r="C38" s="191" t="s">
        <v>587</v>
      </c>
      <c r="D38" s="191"/>
    </row>
    <row r="39" spans="1:4" ht="17.45">
      <c r="A39" s="191" t="s">
        <v>664</v>
      </c>
      <c r="B39" s="191" t="s">
        <v>662</v>
      </c>
      <c r="C39" s="191" t="s">
        <v>588</v>
      </c>
      <c r="D39" s="191"/>
    </row>
    <row r="40" spans="1:4" ht="17.45">
      <c r="A40" s="191" t="s">
        <v>664</v>
      </c>
      <c r="B40" s="191" t="s">
        <v>662</v>
      </c>
      <c r="C40" s="191" t="s">
        <v>589</v>
      </c>
      <c r="D40" s="19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ath xmlns="8aa0849a-90a6-4da0-8cc8-b150b7d1c909" xsi:nil="true"/>
    <_Flow_SignoffStatus xmlns="8aa0849a-90a6-4da0-8cc8-b150b7d1c909" xsi:nil="true"/>
    <BC xmlns="8aa0849a-90a6-4da0-8cc8-b150b7d1c909">false</BC>
    <lcf76f155ced4ddcb4097134ff3c332f xmlns="8aa0849a-90a6-4da0-8cc8-b150b7d1c909">
      <Terms xmlns="http://schemas.microsoft.com/office/infopath/2007/PartnerControls"/>
    </lcf76f155ced4ddcb4097134ff3c332f>
    <Validtill xmlns="8aa0849a-90a6-4da0-8cc8-b150b7d1c909" xsi:nil="true"/>
    <Hyperlink xmlns="8aa0849a-90a6-4da0-8cc8-b150b7d1c909">
      <Url xsi:nil="true"/>
      <Description xsi:nil="true"/>
    </Hyperlink>
    <Notes xmlns="8aa0849a-90a6-4da0-8cc8-b150b7d1c909" xsi:nil="true"/>
    <TaxCatchAll xmlns="fc65a473-f66d-4f9e-a78e-d7ecf65f9bc9" xsi:nil="true"/>
    <Link xmlns="8aa0849a-90a6-4da0-8cc8-b150b7d1c909">
      <Url xsi:nil="true"/>
      <Description xsi:nil="true"/>
    </Link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066CA9E3256547ABB1EFA42EB9F51E" ma:contentTypeVersion="27" ma:contentTypeDescription="Create a new document." ma:contentTypeScope="" ma:versionID="69d38ea3ecea87ab73999b22baf4fff8">
  <xsd:schema xmlns:xsd="http://www.w3.org/2001/XMLSchema" xmlns:xs="http://www.w3.org/2001/XMLSchema" xmlns:p="http://schemas.microsoft.com/office/2006/metadata/properties" xmlns:ns2="8aa0849a-90a6-4da0-8cc8-b150b7d1c909" xmlns:ns3="fc65a473-f66d-4f9e-a78e-d7ecf65f9bc9" targetNamespace="http://schemas.microsoft.com/office/2006/metadata/properties" ma:root="true" ma:fieldsID="853fbff30c770613326a59b034e9d7be" ns2:_="" ns3:_="">
    <xsd:import namespace="8aa0849a-90a6-4da0-8cc8-b150b7d1c909"/>
    <xsd:import namespace="fc65a473-f66d-4f9e-a78e-d7ecf65f9b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Hyperlink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Validtill" minOccurs="0"/>
                <xsd:element ref="ns2:BC" minOccurs="0"/>
                <xsd:element ref="ns2:Notes" minOccurs="0"/>
                <xsd:element ref="ns2:Path" minOccurs="0"/>
                <xsd:element ref="ns2:Link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a0849a-90a6-4da0-8cc8-b150b7d1c9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9d9ebf3-e9cf-4c8b-b98b-67778afd6c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Hyperlink" ma:index="23" nillable="true" ma:displayName="Hyperlink" ma:format="Hyperlink" ma:internalName="Hyper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Validtill" ma:index="27" nillable="true" ma:displayName="Valid till" ma:description="If the file is a contract/ agreement - enter the validity date" ma:format="DateOnly" ma:internalName="Validtill">
      <xsd:simpleType>
        <xsd:restriction base="dms:DateTime"/>
      </xsd:simpleType>
    </xsd:element>
    <xsd:element name="BC" ma:index="28" nillable="true" ma:displayName="BC" ma:default="0" ma:format="Dropdown" ma:internalName="BC">
      <xsd:simpleType>
        <xsd:restriction base="dms:Boolean"/>
      </xsd:simpleType>
    </xsd:element>
    <xsd:element name="Notes" ma:index="29" nillable="true" ma:displayName="Notes" ma:format="Dropdown" ma:internalName="Notes">
      <xsd:simpleType>
        <xsd:restriction base="dms:Note">
          <xsd:maxLength value="255"/>
        </xsd:restriction>
      </xsd:simpleType>
    </xsd:element>
    <xsd:element name="Path" ma:index="30" nillable="true" ma:displayName="Path" ma:internalName="Path">
      <xsd:simpleType>
        <xsd:restriction base="dms:Text">
          <xsd:maxLength value="255"/>
        </xsd:restriction>
      </xsd:simpleType>
    </xsd:element>
    <xsd:element name="Link" ma:index="31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BillingMetadata" ma:index="3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65a473-f66d-4f9e-a78e-d7ecf65f9bc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1ab7f98-9eb8-4ade-a187-9ffc56d73591}" ma:internalName="TaxCatchAll" ma:showField="CatchAllData" ma:web="fc65a473-f66d-4f9e-a78e-d7ecf65f9b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8D0DDA-3EBA-4AC8-AE18-45FE3B2573A9}"/>
</file>

<file path=customXml/itemProps2.xml><?xml version="1.0" encoding="utf-8"?>
<ds:datastoreItem xmlns:ds="http://schemas.openxmlformats.org/officeDocument/2006/customXml" ds:itemID="{B830214C-031C-4063-8CFB-8FFF4A85587B}"/>
</file>

<file path=customXml/itemProps3.xml><?xml version="1.0" encoding="utf-8"?>
<ds:datastoreItem xmlns:ds="http://schemas.openxmlformats.org/officeDocument/2006/customXml" ds:itemID="{D17EF0CC-2BB0-47AA-AE46-5BE0805C9E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Katya Khmilevskaya</dc:creator>
  <cp:keywords/>
  <dc:description/>
  <cp:lastModifiedBy/>
  <cp:revision/>
  <dcterms:created xsi:type="dcterms:W3CDTF">2024-11-15T13:52:14Z</dcterms:created>
  <dcterms:modified xsi:type="dcterms:W3CDTF">2026-01-23T16:23:55Z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0x010100D9066CA9E3256547ABB1EFA42EB9F51E</vt:lpwstr>
  </property>
  <property fmtid="{D5CDD505-2E9C-101B-9397-08002B2CF9AE}" pid="3" name="MediaServiceImageTags">
    <vt:lpwstr/>
  </property>
  <property fmtid="{D5CDD505-2E9C-101B-9397-08002B2CF9AE}" pid="4" name="MSIP_Label_c0e1bfa7-2f80-4155-b02e-172abc75bd0c_Enabled">
    <vt:lpwstr>true</vt:lpwstr>
  </property>
  <property fmtid="{D5CDD505-2E9C-101B-9397-08002B2CF9AE}" pid="5" name="MSIP_Label_c0e1bfa7-2f80-4155-b02e-172abc75bd0c_SetDate">
    <vt:lpwstr>2025-08-27T15:20:28Z</vt:lpwstr>
  </property>
  <property fmtid="{D5CDD505-2E9C-101B-9397-08002B2CF9AE}" pid="6" name="MSIP_Label_c0e1bfa7-2f80-4155-b02e-172abc75bd0c_Method">
    <vt:lpwstr>Standard</vt:lpwstr>
  </property>
  <property fmtid="{D5CDD505-2E9C-101B-9397-08002B2CF9AE}" pid="7" name="MSIP_Label_c0e1bfa7-2f80-4155-b02e-172abc75bd0c_Name">
    <vt:lpwstr>defa4170-0d19-0005-0004-bc88714345d2</vt:lpwstr>
  </property>
  <property fmtid="{D5CDD505-2E9C-101B-9397-08002B2CF9AE}" pid="8" name="MSIP_Label_c0e1bfa7-2f80-4155-b02e-172abc75bd0c_SiteId">
    <vt:lpwstr>2c766c39-e976-4bfa-9bc1-e0157a6db1a5</vt:lpwstr>
  </property>
  <property fmtid="{D5CDD505-2E9C-101B-9397-08002B2CF9AE}" pid="9" name="MSIP_Label_c0e1bfa7-2f80-4155-b02e-172abc75bd0c_ActionId">
    <vt:lpwstr>72b8de36-a3f6-4466-9d17-7b3a165e96fe</vt:lpwstr>
  </property>
  <property fmtid="{D5CDD505-2E9C-101B-9397-08002B2CF9AE}" pid="10" name="MSIP_Label_c0e1bfa7-2f80-4155-b02e-172abc75bd0c_ContentBits">
    <vt:lpwstr>0</vt:lpwstr>
  </property>
</Properties>
</file>